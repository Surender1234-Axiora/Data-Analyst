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xiora User-28\Downloads\Practice\"/>
    </mc:Choice>
  </mc:AlternateContent>
  <xr:revisionPtr revIDLastSave="0" documentId="13_ncr:1_{A4C4BE35-E6FD-42D8-8C6E-C426839E3E3E}" xr6:coauthVersionLast="47" xr6:coauthVersionMax="47" xr10:uidLastSave="{00000000-0000-0000-0000-000000000000}"/>
  <bookViews>
    <workbookView xWindow="-110" yWindow="-110" windowWidth="19420" windowHeight="10300" activeTab="3" xr2:uid="{AF0B6D91-FEF3-49DB-A01D-51B3CF5A6A38}"/>
  </bookViews>
  <sheets>
    <sheet name="Orderid-Customer" sheetId="1" r:id="rId1"/>
    <sheet name="Sheet3" sheetId="4" r:id="rId2"/>
    <sheet name="Sample Data" sheetId="3" r:id="rId3"/>
    <sheet name="Sheet4" sheetId="5" r:id="rId4"/>
  </sheets>
  <calcPr calcId="191029"/>
  <pivotCaches>
    <pivotCache cacheId="14" r:id="rId5"/>
  </pivotCaches>
</workbook>
</file>

<file path=xl/calcChain.xml><?xml version="1.0" encoding="utf-8"?>
<calcChain xmlns="http://schemas.openxmlformats.org/spreadsheetml/2006/main">
  <c r="J2" i="5" l="1"/>
  <c r="J3" i="5"/>
  <c r="J4" i="5"/>
  <c r="J5" i="5"/>
  <c r="J6" i="5"/>
  <c r="I2" i="5"/>
  <c r="I3" i="5"/>
  <c r="I4" i="5"/>
  <c r="I5" i="5"/>
  <c r="I6" i="5"/>
  <c r="H2" i="5"/>
  <c r="H3" i="5"/>
  <c r="H4" i="5"/>
  <c r="H5" i="5"/>
  <c r="H6" i="5"/>
  <c r="G2" i="5"/>
  <c r="G3" i="5"/>
  <c r="G4" i="5"/>
  <c r="G5" i="5"/>
  <c r="G6" i="5"/>
  <c r="S3" i="1"/>
  <c r="S4" i="1"/>
  <c r="S5" i="1"/>
  <c r="S6" i="1"/>
  <c r="S2" i="1"/>
  <c r="R3" i="1"/>
  <c r="R4" i="1"/>
  <c r="R5" i="1"/>
  <c r="R6" i="1"/>
  <c r="R2" i="1"/>
  <c r="Q3" i="1"/>
  <c r="Q4" i="1"/>
  <c r="Q5" i="1"/>
  <c r="Q6" i="1"/>
  <c r="Q2" i="1"/>
  <c r="H2" i="3"/>
  <c r="I2" i="3"/>
  <c r="J2" i="3"/>
  <c r="H3" i="3"/>
  <c r="I3" i="3"/>
  <c r="J3" i="3"/>
  <c r="H4" i="3"/>
  <c r="I4" i="3"/>
  <c r="J4" i="3"/>
  <c r="H5" i="3"/>
  <c r="I5" i="3"/>
  <c r="J5" i="3"/>
  <c r="H6" i="3"/>
  <c r="I6" i="3"/>
  <c r="J6" i="3"/>
  <c r="P3" i="1"/>
  <c r="P4" i="1"/>
  <c r="P5" i="1"/>
  <c r="P6" i="1"/>
  <c r="P2" i="1"/>
  <c r="O3" i="1"/>
  <c r="O4" i="1"/>
  <c r="O5" i="1"/>
  <c r="O6" i="1"/>
  <c r="O2" i="1"/>
  <c r="N3" i="1"/>
  <c r="N4" i="1"/>
  <c r="N5" i="1"/>
  <c r="N6" i="1"/>
  <c r="N2" i="1"/>
  <c r="M3" i="1"/>
  <c r="M4" i="1"/>
  <c r="M5" i="1"/>
  <c r="M6" i="1"/>
  <c r="M2" i="1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</calcChain>
</file>

<file path=xl/sharedStrings.xml><?xml version="1.0" encoding="utf-8"?>
<sst xmlns="http://schemas.openxmlformats.org/spreadsheetml/2006/main" count="103" uniqueCount="49">
  <si>
    <t>OrderID</t>
  </si>
  <si>
    <t>Customer</t>
  </si>
  <si>
    <t>Product</t>
  </si>
  <si>
    <t>Quantity</t>
  </si>
  <si>
    <t>Unit Price</t>
  </si>
  <si>
    <t>Discount</t>
  </si>
  <si>
    <t>Status</t>
  </si>
  <si>
    <t>Final Price</t>
  </si>
  <si>
    <t>Value Flag</t>
  </si>
  <si>
    <t>Asha</t>
  </si>
  <si>
    <t>Laptop</t>
  </si>
  <si>
    <t>Delivered</t>
  </si>
  <si>
    <t>High Value</t>
  </si>
  <si>
    <t>Ravi</t>
  </si>
  <si>
    <t>Mouse</t>
  </si>
  <si>
    <t>Pending</t>
  </si>
  <si>
    <t>Normal</t>
  </si>
  <si>
    <t>Sneha</t>
  </si>
  <si>
    <t>Monitor</t>
  </si>
  <si>
    <t>Arjun</t>
  </si>
  <si>
    <t>Keyboard</t>
  </si>
  <si>
    <t>Cancelled</t>
  </si>
  <si>
    <t>Meera</t>
  </si>
  <si>
    <t>SUM</t>
  </si>
  <si>
    <t>Average</t>
  </si>
  <si>
    <t>Count</t>
  </si>
  <si>
    <t>IF</t>
  </si>
  <si>
    <t>IFERROR</t>
  </si>
  <si>
    <t>COUNTIFS</t>
  </si>
  <si>
    <t>SUMIFS</t>
  </si>
  <si>
    <t>Asha Verma</t>
  </si>
  <si>
    <t>Arjun Singh</t>
  </si>
  <si>
    <t>Meera   Reddy</t>
  </si>
  <si>
    <t>Sneha Sharma</t>
  </si>
  <si>
    <t>Ravi   Kumar</t>
  </si>
  <si>
    <t>LOWER</t>
  </si>
  <si>
    <t>UPPER</t>
  </si>
  <si>
    <t>TRIM</t>
  </si>
  <si>
    <t>Price</t>
  </si>
  <si>
    <t>Customer Name</t>
  </si>
  <si>
    <t>Row Labels</t>
  </si>
  <si>
    <t>Sum of Quantity</t>
  </si>
  <si>
    <t>Grand Total</t>
  </si>
  <si>
    <t>Filter</t>
  </si>
  <si>
    <t>UNIQUE</t>
  </si>
  <si>
    <t>Structured Table References</t>
  </si>
  <si>
    <t>Named Ranges</t>
  </si>
  <si>
    <t>$ Anchoring</t>
  </si>
  <si>
    <t>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</si>
</sst>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Clusterd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'Orderid-Customer'!$J$1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'Orderid-Customer'!$C$2:$C$6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Monitor</c:v>
                </c:pt>
                <c:pt idx="3">
                  <c:v>Keyboard</c:v>
                </c:pt>
                <c:pt idx="4">
                  <c:v>Laptop</c:v>
                </c:pt>
              </c:strCache>
            </c:strRef>
          </c:cat>
          <c:val>
            <c:numRef>
              <c:f>'Orderid-Customer'!$J$2:$J$6</c:f>
              <c:numCache>
                <c:formatCode>General</c:formatCode>
                <c:ptCount val="5"/>
                <c:pt idx="0">
                  <c:v>95000</c:v>
                </c:pt>
                <c:pt idx="1">
                  <c:v>2500</c:v>
                </c:pt>
                <c:pt idx="2">
                  <c:v>10800</c:v>
                </c:pt>
                <c:pt idx="3">
                  <c:v>4500</c:v>
                </c:pt>
                <c:pt idx="4">
                  <c:v>49400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3-4D3B-948E-F72057383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979040"/>
        <c:axId val="495979400"/>
      </c:barChart>
      <c:catAx>
        <c:axId val="49597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979400"/>
        <c:crosses val="autoZero"/>
        <c:auto val="1"/>
        <c:lblAlgn val="ctr"/>
        <c:lblOffset val="100"/>
        <c:noMultiLvlLbl val="0"/>
      </c:catAx>
      <c:valAx>
        <c:axId val="49597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97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with</a:t>
            </a:r>
            <a:r>
              <a:rPr lang="en-IN" baseline="0"/>
              <a:t> Markers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'Orderid-Customer'!$C$1:$C$5</c:f>
              <c:strCache>
                <c:ptCount val="5"/>
                <c:pt idx="0">
                  <c:v>Product</c:v>
                </c:pt>
                <c:pt idx="1">
                  <c:v>Laptop</c:v>
                </c:pt>
                <c:pt idx="2">
                  <c:v>Mouse</c:v>
                </c:pt>
                <c:pt idx="3">
                  <c:v>Monitor</c:v>
                </c:pt>
                <c:pt idx="4">
                  <c:v>Keyboard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'Orderid-Customer'!$C$6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A3-4ECB-975A-5B5DF76F516B}"/>
            </c:ext>
          </c:extLst>
        </c:ser>
        <c:ser>
          <c:idx val="1"/>
          <c:order val="1"/>
          <c:tx>
            <c:strRef>
              <c:f>'Orderid-Customer'!$J$1:$J$5</c:f>
              <c:strCache>
                <c:ptCount val="5"/>
                <c:pt idx="0">
                  <c:v>SUM</c:v>
                </c:pt>
                <c:pt idx="1">
                  <c:v>95000</c:v>
                </c:pt>
                <c:pt idx="2">
                  <c:v>2500</c:v>
                </c:pt>
                <c:pt idx="3">
                  <c:v>10800</c:v>
                </c:pt>
                <c:pt idx="4">
                  <c:v>4500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'Orderid-Customer'!$J$6</c:f>
              <c:numCache>
                <c:formatCode>General</c:formatCode>
                <c:ptCount val="1"/>
                <c:pt idx="0">
                  <c:v>49400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A3-4ECB-975A-5B5DF76F5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860080"/>
        <c:axId val="498861160"/>
      </c:lineChart>
      <c:catAx>
        <c:axId val="49886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861160"/>
        <c:crosses val="autoZero"/>
        <c:auto val="1"/>
        <c:lblAlgn val="ctr"/>
        <c:lblOffset val="100"/>
        <c:noMultiLvlLbl val="0"/>
      </c:catAx>
      <c:valAx>
        <c:axId val="49886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86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Pie</a:t>
            </a:r>
            <a:r>
              <a:rPr lang="en-IN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'Orderid-Customer'!$J$1</c:f>
              <c:strCache>
                <c:ptCount val="1"/>
                <c:pt idx="0">
                  <c:v>SUM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'Orderid-Customer'!$C$2:$C$6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Monitor</c:v>
                </c:pt>
                <c:pt idx="3">
                  <c:v>Keyboard</c:v>
                </c:pt>
                <c:pt idx="4">
                  <c:v>Laptop</c:v>
                </c:pt>
              </c:strCache>
            </c:strRef>
          </c:cat>
          <c:val>
            <c:numRef>
              <c:f>'Orderid-Customer'!$J$2:$J$6</c:f>
              <c:numCache>
                <c:formatCode>General</c:formatCode>
                <c:ptCount val="5"/>
                <c:pt idx="0">
                  <c:v>95000</c:v>
                </c:pt>
                <c:pt idx="1">
                  <c:v>2500</c:v>
                </c:pt>
                <c:pt idx="2">
                  <c:v>10800</c:v>
                </c:pt>
                <c:pt idx="3">
                  <c:v>4500</c:v>
                </c:pt>
                <c:pt idx="4">
                  <c:v>49400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1-4EF8-99A4-08BE190A7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with Markers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'Orderid-Customer'!$J$1</c:f>
              <c:strCache>
                <c:ptCount val="1"/>
                <c:pt idx="0">
                  <c:v>SUM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'Orderid-Customer'!$D$2:$D$6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</c:numCache>
            </c:numRef>
          </c:xVal>
          <c:yVal>
            <c:numRef>
              <c:f>'Orderid-Customer'!$J$2:$J$6</c:f>
              <c:numCache>
                <c:formatCode>General</c:formatCode>
                <c:ptCount val="5"/>
                <c:pt idx="0">
                  <c:v>95000</c:v>
                </c:pt>
                <c:pt idx="1">
                  <c:v>2500</c:v>
                </c:pt>
                <c:pt idx="2">
                  <c:v>10800</c:v>
                </c:pt>
                <c:pt idx="3">
                  <c:v>4500</c:v>
                </c:pt>
                <c:pt idx="4">
                  <c:v>49400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1F-4232-8423-E0DA1C0C2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517424"/>
        <c:axId val="548524264"/>
      </c:scatterChart>
      <c:valAx>
        <c:axId val="54851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24264"/>
        <c:crosses val="autoZero"/>
        <c:crossBetween val="midCat"/>
      </c:valAx>
      <c:valAx>
        <c:axId val="54852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1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11</xdr:row>
      <xdr:rowOff>19050</xdr:rowOff>
    </xdr:from>
    <xdr:to>
      <xdr:col>4</xdr:col>
      <xdr:colOff>419100</xdr:colOff>
      <xdr:row>19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02F985-12FD-0319-06F7-8EBB0B96E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473075</xdr:colOff>
      <xdr:row>10</xdr:row>
      <xdr:rowOff>177800</xdr:rowOff>
    </xdr:from>
    <xdr:to>
      <xdr:col>10</xdr:col>
      <xdr:colOff>57150</xdr:colOff>
      <xdr:row>19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0B1273-D67B-0BD9-B988-F9AB7C039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101599</xdr:colOff>
      <xdr:row>11</xdr:row>
      <xdr:rowOff>0</xdr:rowOff>
    </xdr:from>
    <xdr:to>
      <xdr:col>13</xdr:col>
      <xdr:colOff>746124</xdr:colOff>
      <xdr:row>19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0D87D1-919E-C60F-38C9-6F4156FDD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781049</xdr:colOff>
      <xdr:row>11</xdr:row>
      <xdr:rowOff>0</xdr:rowOff>
    </xdr:from>
    <xdr:to>
      <xdr:col>17</xdr:col>
      <xdr:colOff>6350</xdr:colOff>
      <xdr:row>19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10CFE6-1480-EE78-D45B-8AC2624D3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cel%20smaple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iora User-28" refreshedDate="46119.748041319443" createdVersion="8" refreshedVersion="8" minRefreshableVersion="3" recordCount="5" xr:uid="{18DBAE52-B162-4145-88AB-DF71B6EB11BC}">
  <cacheSource type="worksheet">
    <worksheetSource ref="A1:J6" sheet="Sheet2" r:id="rId2"/>
  </cacheSource>
  <cacheFields count="10">
    <cacheField name="OrderID" numFmtId="0">
      <sharedItems containsSemiMixedTypes="0" containsString="0" containsNumber="1" containsInteger="1" minValue="201" maxValue="205"/>
    </cacheField>
    <cacheField name="Customer Name" numFmtId="0">
      <sharedItems/>
    </cacheField>
    <cacheField name="Product" numFmtId="0">
      <sharedItems count="4">
        <s v="Laptop"/>
        <s v="Mouse"/>
        <s v="Monitor"/>
        <s v="Keyboard"/>
      </sharedItems>
    </cacheField>
    <cacheField name="Price" numFmtId="0">
      <sharedItems containsSemiMixedTypes="0" containsString="0" containsNumber="1" containsInteger="1" minValue="500" maxValue="52000"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500" maxValue="52000"/>
    </cacheField>
    <cacheField name="Status" numFmtId="0">
      <sharedItems count="3">
        <s v="Delivered"/>
        <s v="Pending"/>
        <s v="Cancelled"/>
      </sharedItems>
    </cacheField>
    <cacheField name="TRIM" numFmtId="0">
      <sharedItems/>
    </cacheField>
    <cacheField name="UPPER" numFmtId="0">
      <sharedItems/>
    </cacheField>
    <cacheField name="LOW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1"/>
    <s v="Ravi   Kumar"/>
    <x v="0"/>
    <n v="50000"/>
    <n v="2"/>
    <n v="50000"/>
    <x v="0"/>
    <s v="Ravi Kumar"/>
    <s v="RAVI   KUMAR"/>
    <s v="ravi   kumar"/>
  </r>
  <r>
    <n v="202"/>
    <s v="Sneha Sharma"/>
    <x v="1"/>
    <n v="500"/>
    <n v="5"/>
    <n v="500"/>
    <x v="1"/>
    <s v="Sneha Sharma"/>
    <s v="SNEHA SHARMA"/>
    <s v="sneha sharma"/>
  </r>
  <r>
    <n v="203"/>
    <s v="Meera   Reddy"/>
    <x v="2"/>
    <n v="12000"/>
    <n v="1"/>
    <n v="12000"/>
    <x v="0"/>
    <s v="Meera Reddy"/>
    <s v="MEERA   REDDY"/>
    <s v="meera   reddy"/>
  </r>
  <r>
    <n v="204"/>
    <s v="Arjun Singh"/>
    <x v="3"/>
    <n v="1500"/>
    <n v="3"/>
    <n v="1500"/>
    <x v="2"/>
    <s v="Arjun Singh"/>
    <s v="ARJUN SINGH"/>
    <s v="arjun singh"/>
  </r>
  <r>
    <n v="205"/>
    <s v="Asha Verma"/>
    <x v="0"/>
    <n v="52000"/>
    <n v="1"/>
    <n v="52000"/>
    <x v="0"/>
    <s v="Asha Verma"/>
    <s v="ASHA VERMA"/>
    <s v="asha verm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07B6E-DC47-4C56-86A2-D0DC3CE0A61D}" name="PivotTable1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 rowPageCount="1" colPageCount="1"/>
  <pivotFields count="10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axis="axisPage" multipleItemSelectionAllowed="1" showAll="0">
      <items count="4">
        <item h="1" x="2"/>
        <item x="0"/>
        <item h="1" x="1"/>
        <item t="default"/>
      </items>
    </pivotField>
    <pivotField showAll="0"/>
    <pivotField showAll="0"/>
    <pivotField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C213F-D18F-4397-BF18-9138639FEF0C}" name="PivotTable10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F2A7B-3936-48A9-82AC-D0F5581EE5C0}" name="Table1" displayName="Table1" ref="A1:J6" totalsRowShown="0" headerRowDxfId="26" dataDxfId="25">
  <tableColumns count="10">
    <tableColumn id="1" xr3:uid="{0B4CEB2E-2816-4A0B-8459-37356399CF7E}" name="OrderID" dataDxfId="24"/>
    <tableColumn id="2" xr3:uid="{A6F7D097-30AC-4EA0-B81D-0777397DF251}" name="Customer Name" dataDxfId="23"/>
    <tableColumn id="3" xr3:uid="{716F9116-904D-482F-B378-4AC82D04E1FB}" name="Product" dataDxfId="22"/>
    <tableColumn id="11" xr3:uid="{74D6646A-28E2-4E2A-B38A-CDD2F3DA7DF7}" name="Price" dataDxfId="21"/>
    <tableColumn id="4" xr3:uid="{FDC35071-A6FD-4DC4-918F-0EF51B383C4A}" name="Quantity" dataDxfId="20"/>
    <tableColumn id="5" xr3:uid="{167E08CC-E004-4152-A967-8BB894420DAC}" name="Unit Price" dataDxfId="19"/>
    <tableColumn id="6" xr3:uid="{52F919B9-7030-41B9-B740-40785897E8AA}" name="Status" dataDxfId="18"/>
    <tableColumn id="7" xr3:uid="{F14F9C98-8A90-4AC1-9A50-2924146C9E77}" name="TRIM" dataDxfId="17">
      <calculatedColumnFormula>TRIM(B2)</calculatedColumnFormula>
    </tableColumn>
    <tableColumn id="8" xr3:uid="{AD2E2E4D-8124-44AB-9A13-99063B8CF8F6}" name="UPPER" dataDxfId="16">
      <calculatedColumnFormula>UPPER(Table1[[#This Row],[Customer Name]])</calculatedColumnFormula>
    </tableColumn>
    <tableColumn id="9" xr3:uid="{205C6633-231C-4968-AA5A-3B348542F098}" name="LOWER" dataDxfId="15">
      <calculatedColumnFormula>LOWER(Table1[Customer Name])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2553BD-6AC1-4933-A0BF-58CECBE8B9A1}" name="Table2" displayName="Table2" ref="A1:J6" totalsRowShown="0" headerRowDxfId="5" dataDxfId="4" headerRowBorderDxfId="13" tableBorderDxfId="14" totalsRowBorderDxfId="12">
  <tableColumns count="10">
    <tableColumn id="1" xr3:uid="{1D154FE8-951F-4683-BF89-7361B518F7DF}" name="OrderID" dataDxfId="11"/>
    <tableColumn id="2" xr3:uid="{1C1E319A-1096-4E3E-B6CB-2DE81EAC0BEE}" name="Customer" dataDxfId="10"/>
    <tableColumn id="3" xr3:uid="{EDCF30DE-44C8-4A65-B999-742391130343}" name="Product" dataDxfId="9"/>
    <tableColumn id="4" xr3:uid="{4017BAD4-BA01-4D5E-A806-65309E89CD45}" name="Quantity" dataDxfId="8"/>
    <tableColumn id="5" xr3:uid="{4F9143CE-D0C3-4AB0-A8A9-7296BAD15C9F}" name="Unit Price" dataDxfId="7"/>
    <tableColumn id="6" xr3:uid="{87031FAA-6B84-4AC5-BC5A-014B69DAC22C}" name="Status" dataDxfId="6"/>
    <tableColumn id="7" xr3:uid="{5A95EB80-DAE7-433B-B22C-65750B37C4BC}" name="Named Ranges" dataDxfId="3">
      <calculatedColumnFormula>AVERAGE(Table2[[#This Row],[Unit Price]])</calculatedColumnFormula>
    </tableColumn>
    <tableColumn id="8" xr3:uid="{D56A6A8B-9839-4BF2-9EA6-308AD8148D26}" name="Structured Table References" dataDxfId="2">
      <calculatedColumnFormula>SUM(Table1[Quantity])</calculatedColumnFormula>
    </tableColumn>
    <tableColumn id="10" xr3:uid="{666B4E00-2993-42C3-B598-ED6EF82FD73B}" name="$ Anchoring" dataDxfId="1">
      <calculatedColumnFormula>E2*$H$1</calculatedColumnFormula>
    </tableColumn>
    <tableColumn id="11" xr3:uid="{74F7EE84-9A1B-4FC7-9B24-60413553508B}" name="Conditional Formatting" dataDxfId="0">
      <calculatedColumnFormula>E2&gt;20000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D5C7-84C7-46F9-AA5D-07289A00AEAA}">
  <dimension ref="A1:S6"/>
  <sheetViews>
    <sheetView topLeftCell="D1" workbookViewId="0">
      <selection activeCell="R9" sqref="R9"/>
    </sheetView>
  </sheetViews>
  <sheetFormatPr defaultRowHeight="14.5" x14ac:dyDescent="0.35"/>
  <cols>
    <col min="1" max="1" width="7.54296875" bestFit="1" customWidth="1"/>
    <col min="2" max="2" width="8.90625" bestFit="1" customWidth="1"/>
    <col min="4" max="4" width="8" bestFit="1" customWidth="1"/>
    <col min="6" max="6" width="8.08984375" bestFit="1" customWidth="1"/>
    <col min="7" max="7" width="8.81640625" bestFit="1" customWidth="1"/>
    <col min="8" max="8" width="9.1796875" bestFit="1" customWidth="1"/>
    <col min="9" max="9" width="9.6328125" bestFit="1" customWidth="1"/>
    <col min="10" max="10" width="5.81640625" bestFit="1" customWidth="1"/>
    <col min="11" max="11" width="11.81640625" bestFit="1" customWidth="1"/>
    <col min="12" max="12" width="5.81640625" bestFit="1" customWidth="1"/>
    <col min="13" max="13" width="9.6328125" bestFit="1" customWidth="1"/>
    <col min="14" max="14" width="11.81640625" bestFit="1" customWidth="1"/>
    <col min="15" max="15" width="9.1796875" bestFit="1" customWidth="1"/>
    <col min="16" max="16" width="7.08984375" bestFit="1" customWidth="1"/>
    <col min="19" max="19" width="24.6328125" bestFit="1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43</v>
      </c>
      <c r="R1" s="4" t="s">
        <v>44</v>
      </c>
      <c r="S1" s="4" t="s">
        <v>45</v>
      </c>
    </row>
    <row r="2" spans="1:19" x14ac:dyDescent="0.35">
      <c r="A2" s="1">
        <v>101</v>
      </c>
      <c r="B2" s="1" t="s">
        <v>9</v>
      </c>
      <c r="C2" s="1" t="s">
        <v>10</v>
      </c>
      <c r="D2" s="1">
        <v>2</v>
      </c>
      <c r="E2" s="1">
        <v>50000</v>
      </c>
      <c r="F2" s="1">
        <v>0.05</v>
      </c>
      <c r="G2" s="1" t="s">
        <v>11</v>
      </c>
      <c r="H2" s="2">
        <v>95000</v>
      </c>
      <c r="I2" s="1" t="s">
        <v>12</v>
      </c>
      <c r="J2" s="3">
        <f>SUM(D2:D6*E2:E6*(1-F2:F6))</f>
        <v>95000</v>
      </c>
      <c r="K2" s="3">
        <f>AVERAGE(E2:E6)</f>
        <v>23200</v>
      </c>
      <c r="L2" s="3">
        <f>COUNT(A2:A6)</f>
        <v>5</v>
      </c>
      <c r="M2" s="3" t="str">
        <f>IF(E2*D2&gt;20000,"High Value","Normal")</f>
        <v>High Value</v>
      </c>
      <c r="N2" s="3">
        <f>IFERROR(100/D2,"Invalid Quantity")</f>
        <v>50</v>
      </c>
      <c r="O2" s="3">
        <f>COUNTIFS(G2:G6,"Delivered")</f>
        <v>3</v>
      </c>
      <c r="P2" s="3">
        <f>SUMIFS(H2:H6, G2:G6, "Delivered", C2:C6, "Laptop")</f>
        <v>144400</v>
      </c>
      <c r="Q2" s="3" t="str">
        <f>IF(G2="Delivered","Show","Hide")</f>
        <v>Show</v>
      </c>
      <c r="R2" s="3" t="e">
        <f ca="1">UNIQUE(C2)</f>
        <v>#NAME?</v>
      </c>
      <c r="S2" s="3">
        <f>SUM(E2)</f>
        <v>50000</v>
      </c>
    </row>
    <row r="3" spans="1:19" x14ac:dyDescent="0.35">
      <c r="A3" s="1">
        <v>102</v>
      </c>
      <c r="B3" s="1" t="s">
        <v>13</v>
      </c>
      <c r="C3" s="1" t="s">
        <v>14</v>
      </c>
      <c r="D3" s="1">
        <v>5</v>
      </c>
      <c r="E3" s="1">
        <v>500</v>
      </c>
      <c r="F3" s="1">
        <v>0</v>
      </c>
      <c r="G3" s="1" t="s">
        <v>15</v>
      </c>
      <c r="H3" s="2">
        <v>2500</v>
      </c>
      <c r="I3" s="1" t="s">
        <v>16</v>
      </c>
      <c r="J3" s="3">
        <f t="shared" ref="J3:J6" si="0">SUM(D3:D7*E3:E7*(1-F3:F7))</f>
        <v>2500</v>
      </c>
      <c r="K3" s="3">
        <f t="shared" ref="K3:K6" si="1">AVERAGE(E3:E7)</f>
        <v>16500</v>
      </c>
      <c r="L3" s="3">
        <f t="shared" ref="L3:L6" si="2">COUNT(A3:A7)</f>
        <v>4</v>
      </c>
      <c r="M3" s="3" t="str">
        <f t="shared" ref="M3:M6" si="3">IF(E3*D3&gt;20000,"High Value","Normal")</f>
        <v>Normal</v>
      </c>
      <c r="N3" s="3">
        <f t="shared" ref="N3:N6" si="4">IFERROR(100/D3,"Invalid Quantity")</f>
        <v>20</v>
      </c>
      <c r="O3" s="3">
        <f t="shared" ref="O3:O6" si="5">COUNTIFS(G3:G7,"Delivered")</f>
        <v>2</v>
      </c>
      <c r="P3" s="3">
        <f t="shared" ref="P3:P6" si="6">SUMIFS(H3:H7, G3:G7, "Delivered", C3:C7, "Laptop")</f>
        <v>49400</v>
      </c>
      <c r="Q3" s="3" t="str">
        <f t="shared" ref="Q3:Q6" si="7">IF(G3="Delivered","Show","Hide")</f>
        <v>Hide</v>
      </c>
      <c r="R3" s="3" t="e">
        <f t="shared" ref="R3:R6" ca="1" si="8">UNIQUE(C3)</f>
        <v>#NAME?</v>
      </c>
      <c r="S3" s="3">
        <f t="shared" ref="S3:S6" si="9">SUM(E3)</f>
        <v>500</v>
      </c>
    </row>
    <row r="4" spans="1:19" x14ac:dyDescent="0.35">
      <c r="A4" s="1">
        <v>103</v>
      </c>
      <c r="B4" s="1" t="s">
        <v>17</v>
      </c>
      <c r="C4" s="1" t="s">
        <v>18</v>
      </c>
      <c r="D4" s="1">
        <v>1</v>
      </c>
      <c r="E4" s="1">
        <v>12000</v>
      </c>
      <c r="F4" s="1">
        <v>0.1</v>
      </c>
      <c r="G4" s="1" t="s">
        <v>11</v>
      </c>
      <c r="H4" s="2">
        <v>10800</v>
      </c>
      <c r="I4" s="1" t="s">
        <v>16</v>
      </c>
      <c r="J4" s="3">
        <f t="shared" si="0"/>
        <v>10800</v>
      </c>
      <c r="K4" s="3">
        <f t="shared" si="1"/>
        <v>21833.333333333332</v>
      </c>
      <c r="L4" s="3">
        <f t="shared" si="2"/>
        <v>3</v>
      </c>
      <c r="M4" s="3" t="str">
        <f t="shared" si="3"/>
        <v>Normal</v>
      </c>
      <c r="N4" s="3">
        <f t="shared" si="4"/>
        <v>100</v>
      </c>
      <c r="O4" s="3">
        <f t="shared" si="5"/>
        <v>2</v>
      </c>
      <c r="P4" s="3">
        <f t="shared" si="6"/>
        <v>49400</v>
      </c>
      <c r="Q4" s="3" t="str">
        <f t="shared" si="7"/>
        <v>Show</v>
      </c>
      <c r="R4" s="3" t="e">
        <f t="shared" ca="1" si="8"/>
        <v>#NAME?</v>
      </c>
      <c r="S4" s="3">
        <f t="shared" si="9"/>
        <v>12000</v>
      </c>
    </row>
    <row r="5" spans="1:19" x14ac:dyDescent="0.35">
      <c r="A5" s="1">
        <v>104</v>
      </c>
      <c r="B5" s="1" t="s">
        <v>19</v>
      </c>
      <c r="C5" s="1" t="s">
        <v>20</v>
      </c>
      <c r="D5" s="1">
        <v>3</v>
      </c>
      <c r="E5" s="1">
        <v>1500</v>
      </c>
      <c r="F5" s="1">
        <v>0</v>
      </c>
      <c r="G5" s="1" t="s">
        <v>21</v>
      </c>
      <c r="H5" s="2">
        <v>4500</v>
      </c>
      <c r="I5" s="1" t="s">
        <v>16</v>
      </c>
      <c r="J5" s="3">
        <f t="shared" si="0"/>
        <v>4500</v>
      </c>
      <c r="K5" s="3">
        <f t="shared" si="1"/>
        <v>26750</v>
      </c>
      <c r="L5" s="3">
        <f t="shared" si="2"/>
        <v>2</v>
      </c>
      <c r="M5" s="3" t="str">
        <f t="shared" si="3"/>
        <v>Normal</v>
      </c>
      <c r="N5" s="3">
        <f t="shared" si="4"/>
        <v>33.333333333333336</v>
      </c>
      <c r="O5" s="3">
        <f t="shared" si="5"/>
        <v>1</v>
      </c>
      <c r="P5" s="3">
        <f t="shared" si="6"/>
        <v>49400</v>
      </c>
      <c r="Q5" s="3" t="str">
        <f t="shared" si="7"/>
        <v>Hide</v>
      </c>
      <c r="R5" s="3" t="e">
        <f t="shared" ca="1" si="8"/>
        <v>#NAME?</v>
      </c>
      <c r="S5" s="3">
        <f t="shared" si="9"/>
        <v>1500</v>
      </c>
    </row>
    <row r="6" spans="1:19" x14ac:dyDescent="0.35">
      <c r="A6" s="1">
        <v>105</v>
      </c>
      <c r="B6" s="1" t="s">
        <v>22</v>
      </c>
      <c r="C6" s="1" t="s">
        <v>10</v>
      </c>
      <c r="D6" s="1">
        <v>1</v>
      </c>
      <c r="E6" s="1">
        <v>52000</v>
      </c>
      <c r="F6" s="1">
        <v>0.05</v>
      </c>
      <c r="G6" s="1" t="s">
        <v>11</v>
      </c>
      <c r="H6" s="2">
        <v>49400</v>
      </c>
      <c r="I6" s="1" t="s">
        <v>12</v>
      </c>
      <c r="J6" s="3">
        <f t="shared" si="0"/>
        <v>49400</v>
      </c>
      <c r="K6" s="3">
        <f t="shared" si="1"/>
        <v>52000</v>
      </c>
      <c r="L6" s="3">
        <f t="shared" si="2"/>
        <v>1</v>
      </c>
      <c r="M6" s="3" t="str">
        <f t="shared" si="3"/>
        <v>High Value</v>
      </c>
      <c r="N6" s="3">
        <f t="shared" si="4"/>
        <v>100</v>
      </c>
      <c r="O6" s="3">
        <f t="shared" si="5"/>
        <v>1</v>
      </c>
      <c r="P6" s="3">
        <f t="shared" si="6"/>
        <v>49400</v>
      </c>
      <c r="Q6" s="3" t="str">
        <f t="shared" si="7"/>
        <v>Show</v>
      </c>
      <c r="R6" s="3" t="e">
        <f t="shared" ca="1" si="8"/>
        <v>#NAME?</v>
      </c>
      <c r="S6" s="3">
        <f t="shared" si="9"/>
        <v>52000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3FC4-00DA-4D1E-9719-9F105054537A}">
  <dimension ref="A1:E8"/>
  <sheetViews>
    <sheetView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4.54296875" bestFit="1" customWidth="1"/>
    <col min="4" max="4" width="12.36328125" bestFit="1" customWidth="1"/>
    <col min="5" max="5" width="14.54296875" bestFit="1" customWidth="1"/>
  </cols>
  <sheetData>
    <row r="1" spans="1:5" x14ac:dyDescent="0.35">
      <c r="D1" s="8" t="s">
        <v>6</v>
      </c>
      <c r="E1" t="s">
        <v>11</v>
      </c>
    </row>
    <row r="3" spans="1:5" x14ac:dyDescent="0.35">
      <c r="A3" s="8" t="s">
        <v>40</v>
      </c>
      <c r="B3" t="s">
        <v>41</v>
      </c>
      <c r="D3" s="8" t="s">
        <v>40</v>
      </c>
      <c r="E3" t="s">
        <v>41</v>
      </c>
    </row>
    <row r="4" spans="1:5" x14ac:dyDescent="0.35">
      <c r="A4" s="7" t="s">
        <v>20</v>
      </c>
      <c r="B4">
        <v>3</v>
      </c>
      <c r="D4" s="7" t="s">
        <v>10</v>
      </c>
      <c r="E4">
        <v>3</v>
      </c>
    </row>
    <row r="5" spans="1:5" x14ac:dyDescent="0.35">
      <c r="A5" s="7" t="s">
        <v>10</v>
      </c>
      <c r="B5">
        <v>3</v>
      </c>
      <c r="D5" s="7" t="s">
        <v>18</v>
      </c>
      <c r="E5">
        <v>1</v>
      </c>
    </row>
    <row r="6" spans="1:5" x14ac:dyDescent="0.35">
      <c r="A6" s="7" t="s">
        <v>18</v>
      </c>
      <c r="B6">
        <v>1</v>
      </c>
      <c r="D6" s="7" t="s">
        <v>42</v>
      </c>
      <c r="E6">
        <v>4</v>
      </c>
    </row>
    <row r="7" spans="1:5" x14ac:dyDescent="0.35">
      <c r="A7" s="7" t="s">
        <v>14</v>
      </c>
      <c r="B7">
        <v>5</v>
      </c>
    </row>
    <row r="8" spans="1:5" x14ac:dyDescent="0.35">
      <c r="A8" s="7" t="s">
        <v>42</v>
      </c>
      <c r="B8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C220-0C92-4297-B1AF-3D8829D0000C}">
  <dimension ref="A1:J6"/>
  <sheetViews>
    <sheetView workbookViewId="0">
      <selection activeCell="F14" sqref="F14"/>
    </sheetView>
  </sheetViews>
  <sheetFormatPr defaultRowHeight="14.5" x14ac:dyDescent="0.35"/>
  <cols>
    <col min="1" max="1" width="7.54296875" bestFit="1" customWidth="1"/>
    <col min="2" max="2" width="14.453125" bestFit="1" customWidth="1"/>
    <col min="4" max="4" width="5.81640625" bestFit="1" customWidth="1"/>
    <col min="5" max="5" width="8.1796875" bestFit="1" customWidth="1"/>
    <col min="6" max="6" width="8.90625" bestFit="1" customWidth="1"/>
    <col min="7" max="7" width="8.81640625" bestFit="1" customWidth="1"/>
    <col min="8" max="8" width="12.7265625" bestFit="1" customWidth="1"/>
    <col min="9" max="9" width="14.36328125" bestFit="1" customWidth="1"/>
    <col min="10" max="10" width="12.54296875" bestFit="1" customWidth="1"/>
  </cols>
  <sheetData>
    <row r="1" spans="1:10" x14ac:dyDescent="0.35">
      <c r="A1" s="5" t="s">
        <v>0</v>
      </c>
      <c r="B1" s="5" t="s">
        <v>39</v>
      </c>
      <c r="C1" s="5" t="s">
        <v>2</v>
      </c>
      <c r="D1" s="5" t="s">
        <v>38</v>
      </c>
      <c r="E1" s="5" t="s">
        <v>3</v>
      </c>
      <c r="F1" s="5" t="s">
        <v>4</v>
      </c>
      <c r="G1" s="5" t="s">
        <v>6</v>
      </c>
      <c r="H1" s="5" t="s">
        <v>37</v>
      </c>
      <c r="I1" s="5" t="s">
        <v>36</v>
      </c>
      <c r="J1" s="5" t="s">
        <v>35</v>
      </c>
    </row>
    <row r="2" spans="1:10" x14ac:dyDescent="0.35">
      <c r="A2" s="5">
        <v>201</v>
      </c>
      <c r="B2" s="5" t="s">
        <v>34</v>
      </c>
      <c r="C2" s="5" t="s">
        <v>10</v>
      </c>
      <c r="D2" s="5">
        <v>50000</v>
      </c>
      <c r="E2" s="5">
        <v>2</v>
      </c>
      <c r="F2" s="5">
        <v>50000</v>
      </c>
      <c r="G2" s="5" t="s">
        <v>11</v>
      </c>
      <c r="H2" s="6" t="str">
        <f>TRIM(B2)</f>
        <v>Ravi Kumar</v>
      </c>
      <c r="I2" s="6" t="str">
        <f>UPPER(Table1[[#This Row],[Customer Name]])</f>
        <v>RAVI   KUMAR</v>
      </c>
      <c r="J2" s="6" t="str">
        <f>LOWER(Table1[Customer Name])</f>
        <v>ravi   kumar</v>
      </c>
    </row>
    <row r="3" spans="1:10" x14ac:dyDescent="0.35">
      <c r="A3" s="5">
        <v>202</v>
      </c>
      <c r="B3" s="5" t="s">
        <v>33</v>
      </c>
      <c r="C3" s="5" t="s">
        <v>14</v>
      </c>
      <c r="D3" s="5">
        <v>500</v>
      </c>
      <c r="E3" s="5">
        <v>5</v>
      </c>
      <c r="F3" s="5">
        <v>500</v>
      </c>
      <c r="G3" s="5" t="s">
        <v>15</v>
      </c>
      <c r="H3" s="6" t="str">
        <f>TRIM(B3)</f>
        <v>Sneha Sharma</v>
      </c>
      <c r="I3" s="6" t="str">
        <f>UPPER(Table1[[#This Row],[Customer Name]])</f>
        <v>SNEHA SHARMA</v>
      </c>
      <c r="J3" s="6" t="str">
        <f>LOWER(Table1[Customer Name])</f>
        <v>sneha sharma</v>
      </c>
    </row>
    <row r="4" spans="1:10" x14ac:dyDescent="0.35">
      <c r="A4" s="5">
        <v>203</v>
      </c>
      <c r="B4" s="5" t="s">
        <v>32</v>
      </c>
      <c r="C4" s="5" t="s">
        <v>18</v>
      </c>
      <c r="D4" s="5">
        <v>12000</v>
      </c>
      <c r="E4" s="5">
        <v>1</v>
      </c>
      <c r="F4" s="5">
        <v>12000</v>
      </c>
      <c r="G4" s="5" t="s">
        <v>11</v>
      </c>
      <c r="H4" s="6" t="str">
        <f>TRIM(B4)</f>
        <v>Meera Reddy</v>
      </c>
      <c r="I4" s="6" t="str">
        <f>UPPER(Table1[[#This Row],[Customer Name]])</f>
        <v>MEERA   REDDY</v>
      </c>
      <c r="J4" s="6" t="str">
        <f>LOWER(Table1[Customer Name])</f>
        <v>meera   reddy</v>
      </c>
    </row>
    <row r="5" spans="1:10" x14ac:dyDescent="0.35">
      <c r="A5" s="5">
        <v>204</v>
      </c>
      <c r="B5" s="5" t="s">
        <v>31</v>
      </c>
      <c r="C5" s="5" t="s">
        <v>20</v>
      </c>
      <c r="D5" s="5">
        <v>1500</v>
      </c>
      <c r="E5" s="5">
        <v>3</v>
      </c>
      <c r="F5" s="5">
        <v>1500</v>
      </c>
      <c r="G5" s="5" t="s">
        <v>21</v>
      </c>
      <c r="H5" s="6" t="str">
        <f>TRIM(B5)</f>
        <v>Arjun Singh</v>
      </c>
      <c r="I5" s="6" t="str">
        <f>UPPER(Table1[[#This Row],[Customer Name]])</f>
        <v>ARJUN SINGH</v>
      </c>
      <c r="J5" s="6" t="str">
        <f>LOWER(Table1[Customer Name])</f>
        <v>arjun singh</v>
      </c>
    </row>
    <row r="6" spans="1:10" x14ac:dyDescent="0.35">
      <c r="A6" s="5">
        <v>205</v>
      </c>
      <c r="B6" s="5" t="s">
        <v>30</v>
      </c>
      <c r="C6" s="5" t="s">
        <v>10</v>
      </c>
      <c r="D6" s="5">
        <v>52000</v>
      </c>
      <c r="E6" s="5">
        <v>1</v>
      </c>
      <c r="F6" s="5">
        <v>52000</v>
      </c>
      <c r="G6" s="5" t="s">
        <v>11</v>
      </c>
      <c r="H6" s="6" t="str">
        <f>TRIM(B6)</f>
        <v>Asha Verma</v>
      </c>
      <c r="I6" s="6" t="str">
        <f>UPPER(Table1[[#This Row],[Customer Name]])</f>
        <v>ASHA VERMA</v>
      </c>
      <c r="J6" s="6" t="str">
        <f>LOWER(Table1[Customer Name])</f>
        <v>asha verma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CB6C-A587-4F09-A8BA-497B22A0F539}">
  <dimension ref="A1:J6"/>
  <sheetViews>
    <sheetView tabSelected="1" workbookViewId="0">
      <selection activeCell="G15" sqref="G15"/>
    </sheetView>
  </sheetViews>
  <sheetFormatPr defaultRowHeight="14.5" x14ac:dyDescent="0.35"/>
  <cols>
    <col min="1" max="1" width="12.08984375" bestFit="1" customWidth="1"/>
    <col min="2" max="2" width="13.54296875" bestFit="1" customWidth="1"/>
    <col min="3" max="3" width="12" bestFit="1" customWidth="1"/>
    <col min="4" max="4" width="12.7265625" bestFit="1" customWidth="1"/>
    <col min="5" max="5" width="13.453125" bestFit="1" customWidth="1"/>
    <col min="6" max="6" width="10.6328125" bestFit="1" customWidth="1"/>
    <col min="7" max="7" width="13.26953125" bestFit="1" customWidth="1"/>
    <col min="8" max="8" width="24.6328125" bestFit="1" customWidth="1"/>
    <col min="9" max="9" width="10.7265625" bestFit="1" customWidth="1"/>
    <col min="10" max="10" width="20.36328125" bestFit="1" customWidth="1"/>
  </cols>
  <sheetData>
    <row r="1" spans="1:10" ht="17" customHeigh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6</v>
      </c>
      <c r="G1" s="10" t="s">
        <v>46</v>
      </c>
      <c r="H1" s="10" t="s">
        <v>45</v>
      </c>
      <c r="I1" s="10" t="s">
        <v>47</v>
      </c>
      <c r="J1" s="10" t="s">
        <v>48</v>
      </c>
    </row>
    <row r="2" spans="1:10" x14ac:dyDescent="0.35">
      <c r="A2" s="12">
        <v>501</v>
      </c>
      <c r="B2" s="13" t="s">
        <v>13</v>
      </c>
      <c r="C2" s="13" t="s">
        <v>10</v>
      </c>
      <c r="D2" s="13">
        <v>2</v>
      </c>
      <c r="E2" s="13">
        <v>50000</v>
      </c>
      <c r="F2" s="14" t="s">
        <v>11</v>
      </c>
      <c r="G2" s="19">
        <f>AVERAGE(Table2[[#This Row],[Unit Price]])</f>
        <v>50000</v>
      </c>
      <c r="H2" s="19">
        <f>SUM(Table1[Quantity])</f>
        <v>12</v>
      </c>
      <c r="I2" s="21" t="e">
        <f t="shared" ref="I2:I6" si="0">E2*$H$1</f>
        <v>#VALUE!</v>
      </c>
      <c r="J2" s="21" t="b">
        <f t="shared" ref="J2:J6" si="1">E2&gt;20000</f>
        <v>1</v>
      </c>
    </row>
    <row r="3" spans="1:10" x14ac:dyDescent="0.35">
      <c r="A3" s="12">
        <v>502</v>
      </c>
      <c r="B3" s="13" t="s">
        <v>17</v>
      </c>
      <c r="C3" s="13" t="s">
        <v>14</v>
      </c>
      <c r="D3" s="13">
        <v>5</v>
      </c>
      <c r="E3" s="13">
        <v>500</v>
      </c>
      <c r="F3" s="14" t="s">
        <v>15</v>
      </c>
      <c r="G3" s="18">
        <f>AVERAGE(Table2[[#This Row],[Unit Price]])</f>
        <v>500</v>
      </c>
      <c r="H3" s="18">
        <f>SUM(Table1[Quantity])</f>
        <v>12</v>
      </c>
      <c r="I3" s="21" t="e">
        <f t="shared" si="0"/>
        <v>#VALUE!</v>
      </c>
      <c r="J3" s="21" t="b">
        <f t="shared" si="1"/>
        <v>0</v>
      </c>
    </row>
    <row r="4" spans="1:10" x14ac:dyDescent="0.35">
      <c r="A4" s="12">
        <v>503</v>
      </c>
      <c r="B4" s="13" t="s">
        <v>22</v>
      </c>
      <c r="C4" s="13" t="s">
        <v>18</v>
      </c>
      <c r="D4" s="13">
        <v>1</v>
      </c>
      <c r="E4" s="13">
        <v>12000</v>
      </c>
      <c r="F4" s="14" t="s">
        <v>11</v>
      </c>
      <c r="G4" s="18">
        <f>AVERAGE(Table2[[#This Row],[Unit Price]])</f>
        <v>12000</v>
      </c>
      <c r="H4" s="18">
        <f>SUM(Table1[Quantity])</f>
        <v>12</v>
      </c>
      <c r="I4" s="21" t="e">
        <f t="shared" si="0"/>
        <v>#VALUE!</v>
      </c>
      <c r="J4" s="21" t="b">
        <f t="shared" si="1"/>
        <v>0</v>
      </c>
    </row>
    <row r="5" spans="1:10" x14ac:dyDescent="0.35">
      <c r="A5" s="12">
        <v>504</v>
      </c>
      <c r="B5" s="13" t="s">
        <v>19</v>
      </c>
      <c r="C5" s="13" t="s">
        <v>20</v>
      </c>
      <c r="D5" s="13">
        <v>3</v>
      </c>
      <c r="E5" s="13">
        <v>1500</v>
      </c>
      <c r="F5" s="14" t="s">
        <v>21</v>
      </c>
      <c r="G5" s="18">
        <f>AVERAGE(Table2[[#This Row],[Unit Price]])</f>
        <v>1500</v>
      </c>
      <c r="H5" s="18">
        <f>SUM(Table1[Quantity])</f>
        <v>12</v>
      </c>
      <c r="I5" s="21" t="e">
        <f t="shared" si="0"/>
        <v>#VALUE!</v>
      </c>
      <c r="J5" s="21" t="b">
        <f t="shared" si="1"/>
        <v>0</v>
      </c>
    </row>
    <row r="6" spans="1:10" x14ac:dyDescent="0.35">
      <c r="A6" s="15">
        <v>505</v>
      </c>
      <c r="B6" s="16" t="s">
        <v>9</v>
      </c>
      <c r="C6" s="16" t="s">
        <v>10</v>
      </c>
      <c r="D6" s="16">
        <v>1</v>
      </c>
      <c r="E6" s="16">
        <v>52000</v>
      </c>
      <c r="F6" s="17" t="s">
        <v>11</v>
      </c>
      <c r="G6" s="20">
        <f>AVERAGE(Table2[[#This Row],[Unit Price]])</f>
        <v>52000</v>
      </c>
      <c r="H6" s="20">
        <f>SUM(Table1[Quantity])</f>
        <v>12</v>
      </c>
      <c r="I6" s="21" t="e">
        <f t="shared" si="0"/>
        <v>#VALUE!</v>
      </c>
      <c r="J6" s="21" t="b">
        <f t="shared" si="1"/>
        <v>1</v>
      </c>
    </row>
  </sheetData>
  <phoneticPr fontId="18" type="noConversion"/>
  <dataValidations count="1">
    <dataValidation type="whole" allowBlank="1" showInputMessage="1" showErrorMessage="1" sqref="D1:D1048576" xr:uid="{87000392-4EDE-4F5B-A96C-B2687EE5628D}">
      <formula1>1</formula1>
      <formula2>10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Orderid-Customer</vt:lpstr>
      <vt:lpstr>Sheet3</vt:lpstr>
      <vt:lpstr>Sample Data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Surender Reddy</cp:lastModifiedBy>
  <dcterms:created xsi:type="dcterms:W3CDTF">2026-04-07T12:03:20Z</dcterms:created>
  <dcterms:modified xsi:type="dcterms:W3CDTF">2026-04-07T13:36:39Z</dcterms:modified>
</cp:coreProperties>
</file>
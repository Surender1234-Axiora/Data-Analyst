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xiora User-28\Downloads\"/>
    </mc:Choice>
  </mc:AlternateContent>
  <xr:revisionPtr revIDLastSave="0" documentId="13_ncr:1_{1A3FE9EC-99A9-441E-B720-610EE389FA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vies" sheetId="1" r:id="rId1"/>
    <sheet name="financials" sheetId="2" r:id="rId2"/>
    <sheet name="actors" sheetId="3" r:id="rId3"/>
    <sheet name="movie_actor" sheetId="4" r:id="rId4"/>
    <sheet name="language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N2" i="1"/>
  <c r="N10" i="1"/>
  <c r="N18" i="1"/>
  <c r="N26" i="1"/>
  <c r="N34" i="1"/>
  <c r="M3" i="1"/>
  <c r="M11" i="1"/>
  <c r="M19" i="1"/>
  <c r="M27" i="1"/>
  <c r="M35" i="1"/>
  <c r="L2" i="1"/>
  <c r="M2" i="1" s="1"/>
  <c r="L3" i="1"/>
  <c r="N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N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N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N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N35" i="1" s="1"/>
  <c r="L36" i="1"/>
  <c r="M36" i="1" s="1"/>
  <c r="L37" i="1"/>
  <c r="M37" i="1" s="1"/>
  <c r="L38" i="1"/>
  <c r="M38" i="1" s="1"/>
  <c r="L39" i="1"/>
  <c r="M39" i="1" s="1"/>
  <c r="L40" i="1"/>
  <c r="M40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N33" i="1" l="1"/>
  <c r="N25" i="1"/>
  <c r="N17" i="1"/>
  <c r="N9" i="1"/>
  <c r="N40" i="1"/>
  <c r="N32" i="1"/>
  <c r="N24" i="1"/>
  <c r="N16" i="1"/>
  <c r="N8" i="1"/>
  <c r="N39" i="1"/>
  <c r="N31" i="1"/>
  <c r="N23" i="1"/>
  <c r="N15" i="1"/>
  <c r="N7" i="1"/>
  <c r="N38" i="1"/>
  <c r="N30" i="1"/>
  <c r="N22" i="1"/>
  <c r="N14" i="1"/>
  <c r="N6" i="1"/>
  <c r="N37" i="1"/>
  <c r="N29" i="1"/>
  <c r="N21" i="1"/>
  <c r="N13" i="1"/>
  <c r="N5" i="1"/>
  <c r="N36" i="1"/>
  <c r="N28" i="1"/>
  <c r="N20" i="1"/>
  <c r="N12" i="1"/>
  <c r="N4" i="1"/>
</calcChain>
</file>

<file path=xl/sharedStrings.xml><?xml version="1.0" encoding="utf-8"?>
<sst xmlns="http://schemas.openxmlformats.org/spreadsheetml/2006/main" count="301" uniqueCount="159">
  <si>
    <t>movie_id</t>
  </si>
  <si>
    <t>industry</t>
  </si>
  <si>
    <t>release_year</t>
  </si>
  <si>
    <t>imdb_rating</t>
  </si>
  <si>
    <t>studio</t>
  </si>
  <si>
    <t>language_id</t>
  </si>
  <si>
    <t>Bollywood</t>
  </si>
  <si>
    <t>Hollywood</t>
  </si>
  <si>
    <t>Marvel Studios</t>
  </si>
  <si>
    <t>United Producers</t>
  </si>
  <si>
    <t>Yash Raj Films</t>
  </si>
  <si>
    <t>Vinod Chopra Films</t>
  </si>
  <si>
    <t>Dharma Productions</t>
  </si>
  <si>
    <t>Castle Rock Entertainment</t>
  </si>
  <si>
    <t>Warner Bros. Pictures</t>
  </si>
  <si>
    <t>Columbia Pictures</t>
  </si>
  <si>
    <t>Paramount Pictures</t>
  </si>
  <si>
    <t>Liberty Films</t>
  </si>
  <si>
    <t>20th Century Fox</t>
  </si>
  <si>
    <t>Syncopy</t>
  </si>
  <si>
    <t>Universal Pictures</t>
  </si>
  <si>
    <t>Vinod Chopra Productions</t>
  </si>
  <si>
    <t>Mythri Movie Makers</t>
  </si>
  <si>
    <t>DVV Entertainment</t>
  </si>
  <si>
    <t>Arka Media Works</t>
  </si>
  <si>
    <t>Zee Studios</t>
  </si>
  <si>
    <t>Salman Khan Films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</si>
  <si>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</si>
  <si>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</si>
  <si>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</si>
  <si>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</si>
  <si>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</si>
  <si>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</si>
  <si>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</si>
  <si>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</si>
  <si>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actor_id</t>
  </si>
  <si>
    <t>name</t>
  </si>
  <si>
    <t>birth_year</t>
  </si>
  <si>
    <t>Yash</t>
  </si>
  <si>
    <t>Sanjay Dutt</t>
  </si>
  <si>
    <t>Benedict Cumberbatch</t>
  </si>
  <si>
    <t>Elizabeth Olsen</t>
  </si>
  <si>
    <t>Chris Hemsworth</t>
  </si>
  <si>
    <t>Natalie Portman</t>
  </si>
  <si>
    <t>Tom Hiddleston</t>
  </si>
  <si>
    <t>Amitabh Bachchan</t>
  </si>
  <si>
    <t>Jaya Bachchan</t>
  </si>
  <si>
    <t>Shah Rukh Khan</t>
  </si>
  <si>
    <t>Kajol</t>
  </si>
  <si>
    <t>Aamir Khan</t>
  </si>
  <si>
    <t>R. Madhavan</t>
  </si>
  <si>
    <t>Sharman Joshi</t>
  </si>
  <si>
    <t>Hrithik Roshan</t>
  </si>
  <si>
    <t>Ranveer Singh</t>
  </si>
  <si>
    <t>Deepika Padukone</t>
  </si>
  <si>
    <t>Tim Robbins</t>
  </si>
  <si>
    <t>Morgan Freeman</t>
  </si>
  <si>
    <t>Leonardo DiCaprio</t>
  </si>
  <si>
    <t>Ken Watanabe</t>
  </si>
  <si>
    <t>Matthew McConaughey</t>
  </si>
  <si>
    <t>Anne Hathaway</t>
  </si>
  <si>
    <t>John David Washington</t>
  </si>
  <si>
    <t>Robert Pattinson</t>
  </si>
  <si>
    <t>Will Smith</t>
  </si>
  <si>
    <t>Thandiwe Newton</t>
  </si>
  <si>
    <t>Russell Crowe</t>
  </si>
  <si>
    <t>Joaquin Phoenix</t>
  </si>
  <si>
    <t>Kate Winslet</t>
  </si>
  <si>
    <t>James Stewart</t>
  </si>
  <si>
    <t>Donna Reed</t>
  </si>
  <si>
    <t>Sam Worthington</t>
  </si>
  <si>
    <t>Zoe Saldana</t>
  </si>
  <si>
    <t>Marlon Brando</t>
  </si>
  <si>
    <t>Al Pacino</t>
  </si>
  <si>
    <t>Christian Bale</t>
  </si>
  <si>
    <t>Heath Ledger</t>
  </si>
  <si>
    <t>Liam Neeson</t>
  </si>
  <si>
    <t>Ben Kingsley</t>
  </si>
  <si>
    <t>Sam Neill</t>
  </si>
  <si>
    <t>Laura Dern</t>
  </si>
  <si>
    <t>Song Kang-ho</t>
  </si>
  <si>
    <t>Lee Sun-kyun</t>
  </si>
  <si>
    <t>Robert Downey Jr.</t>
  </si>
  <si>
    <t>Chris Evans</t>
  </si>
  <si>
    <t>Kanu Banerjee</t>
  </si>
  <si>
    <t>Karuna Banerjee</t>
  </si>
  <si>
    <t>Darsheel Safary</t>
  </si>
  <si>
    <t>Sunil Dutt</t>
  </si>
  <si>
    <t>Anushka Sharma</t>
  </si>
  <si>
    <t>Ranbir Kapoor</t>
  </si>
  <si>
    <t>Allu Arjun</t>
  </si>
  <si>
    <t>Fahadh Faasil</t>
  </si>
  <si>
    <t>N. T. Rama Rao Jr.</t>
  </si>
  <si>
    <t>Ram Charan</t>
  </si>
  <si>
    <t>Prabhas</t>
  </si>
  <si>
    <t>Rana Daggubati</t>
  </si>
  <si>
    <t>Mithun Chakraborty</t>
  </si>
  <si>
    <t>Anupam Kher</t>
  </si>
  <si>
    <t>Salman Khan</t>
  </si>
  <si>
    <t>Nawazuddin Siddiqui</t>
  </si>
  <si>
    <t>Tommy Lee Jones</t>
  </si>
  <si>
    <t>Sebastian Stan</t>
  </si>
  <si>
    <t>Anil Kapoor</t>
  </si>
  <si>
    <t>Sidharth Malhotra</t>
  </si>
  <si>
    <t>Kiara Advani</t>
  </si>
  <si>
    <t>Hindi</t>
  </si>
  <si>
    <t>Telugu</t>
  </si>
  <si>
    <t>Kannada</t>
  </si>
  <si>
    <t>Tamil</t>
  </si>
  <si>
    <t>English</t>
  </si>
  <si>
    <t>French</t>
  </si>
  <si>
    <t>Bengali</t>
  </si>
  <si>
    <t>Gujarati</t>
  </si>
  <si>
    <t>NULL</t>
  </si>
  <si>
    <t>title</t>
  </si>
  <si>
    <t>Hombale Films</t>
  </si>
  <si>
    <t/>
  </si>
  <si>
    <t>Government of West Bengal</t>
  </si>
  <si>
    <t>Column2</t>
  </si>
  <si>
    <t>K.G.F: Chapter 2</t>
  </si>
  <si>
    <t>Doctor Strange in the Multiverse of Madness</t>
  </si>
  <si>
    <t>Thor: The Dark World</t>
  </si>
  <si>
    <t>Thor: Ragnarok</t>
  </si>
  <si>
    <t>Thor: Love and Thunder</t>
  </si>
  <si>
    <t>Sholay</t>
  </si>
  <si>
    <t>Dilwale Dulhania Le Jayenge</t>
  </si>
  <si>
    <t>3 Idiots</t>
  </si>
  <si>
    <t>Kabhi Khushi Kabhie Gham</t>
  </si>
  <si>
    <t>Bajirao Mastani</t>
  </si>
  <si>
    <t>The Shawshank Redemption</t>
  </si>
  <si>
    <t>Inception</t>
  </si>
  <si>
    <t>Interstellar</t>
  </si>
  <si>
    <t>The Pursuit of Happyness</t>
  </si>
  <si>
    <t>Gladiator</t>
  </si>
  <si>
    <t>Titanic</t>
  </si>
  <si>
    <t>It's a Wonderful Life</t>
  </si>
  <si>
    <t>Avatar</t>
  </si>
  <si>
    <t>The Godfather</t>
  </si>
  <si>
    <t>The Dark Knight</t>
  </si>
  <si>
    <t>Schindler's List</t>
  </si>
  <si>
    <t>Jurassic Park</t>
  </si>
  <si>
    <t>Parasite</t>
  </si>
  <si>
    <t>Avengers: Endgame</t>
  </si>
  <si>
    <t>Avengers: Infinity War</t>
  </si>
  <si>
    <t>Pather Panchali</t>
  </si>
  <si>
    <t>Taare Zameen Par</t>
  </si>
  <si>
    <t>Munna Bhai M.B.B.S.</t>
  </si>
  <si>
    <t>PK</t>
  </si>
  <si>
    <t>Sanju</t>
  </si>
  <si>
    <t>Pushpa: The Rise - Part 1</t>
  </si>
  <si>
    <t>RRR</t>
  </si>
  <si>
    <t>Baahubali: The Beginning</t>
  </si>
  <si>
    <t>The Kashmir Files</t>
  </si>
  <si>
    <t>Bajrangi Bhaijaan</t>
  </si>
  <si>
    <t>Captain America: The First Avenger</t>
  </si>
  <si>
    <t>Captain America: The Winter Soldier</t>
  </si>
  <si>
    <t>Race 3</t>
  </si>
  <si>
    <t>Shershaah</t>
  </si>
  <si>
    <t>language_name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</si>
</sst>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/>
    </xf>
    <xf numFmtId="0" fontId="0" fillId="0" borderId="3" xfId="0" applyNumberFormat="1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</cellXfs>
  <cellStyles count="1">
    <cellStyle name="Normal" xfId="0" builtinId="0"/>
  </cellStyles>
  <dxfs count="29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FE39D-5614-4A7F-89B7-C167ABC0A251}" name="Movies" displayName="Movies" ref="A1:O40" totalsRowShown="0" headerRowDxfId="1" dataDxfId="25" headerRowBorderDxfId="17" tableBorderDxfId="18" totalsRowBorderDxfId="16">
  <tableColumns count="15">
    <tableColumn id="1" xr3:uid="{5E453F0D-B27C-433C-BF11-BA3FE1A6822E}" name="movie_id" dataDxfId="15"/>
    <tableColumn id="11" xr3:uid="{D24459DE-70F9-4ACC-99CD-AC5B1A7344CF}" name="title" dataDxfId="14"/>
    <tableColumn id="3" xr3:uid="{A73DC6E7-A5B7-4D92-B13E-587CFA363BFA}" name="industry" dataDxfId="13"/>
    <tableColumn id="4" xr3:uid="{DFE5EBBB-5DEF-4AB9-A5C9-802FC0AD1B5B}" name="release_year" dataDxfId="12"/>
    <tableColumn id="5" xr3:uid="{D500D219-E618-40DD-B4AA-E390F996EF1E}" name="imdb_rating" dataDxfId="11"/>
    <tableColumn id="6" xr3:uid="{D06057E5-53B4-474F-BA7C-D7BC731BE502}" name="studio" dataDxfId="10"/>
    <tableColumn id="7" xr3:uid="{70C8CD53-1FFB-4649-B796-093E6560F8C9}" name="language_id" dataDxfId="9"/>
    <tableColumn id="30" xr3:uid="{2A55675A-1700-4C12-807E-D551E62F4E62}" name="budget" dataDxfId="8">
      <calculatedColumnFormula>INDEX(financials!A:E,MATCH(Movies[[#This Row],[movie_id]],Financials[[#All],[movie_id]],0),MATCH("budget",Financials[#Headers],0))</calculatedColumnFormula>
    </tableColumn>
    <tableColumn id="31" xr3:uid="{5D2F4F68-D21C-4DB7-ADB8-C710579C0197}" name="revenue" dataDxfId="7">
      <calculatedColumnFormula>INDEX(financials!A:E,MATCH(Movies[[#This Row],[movie_id]],Financials[[#All],[movie_id]],0),MATCH("revenue",Financials[#Headers],0))</calculatedColumnFormula>
    </tableColumn>
    <tableColumn id="32" xr3:uid="{49FDDDA2-6622-47F0-A5A4-AC052BE1B69C}" name="unit" dataDxfId="6">
      <calculatedColumnFormula>INDEX(financials!A:E,MATCH(Movies[[#This Row],[movie_id]],Financials[[#All],[movie_id]],0),MATCH("unit",Financials[#Headers],0))</calculatedColumnFormula>
    </tableColumn>
    <tableColumn id="33" xr3:uid="{60C91868-B3EA-4024-91F4-072428473128}" name="currency" dataDxfId="5">
      <calculatedColumnFormula>INDEX(financials!A:E,MATCH(Movies[[#This Row],[movie_id]],Financials[[#All],[movie_id]],0),MATCH("currency",Financials[#Headers],0))</calculatedColumnFormula>
    </tableColumn>
    <tableColumn id="36" xr3:uid="{CE7F218E-DD4C-4891-964D-422B492DEF66}" name="actor_id" dataDxfId="4">
      <calculatedColumnFormula>INDEX(movie_actor!A:B,MATCH(Movies[[#This Row],[movie_id]],movie_actor!A:A,0),MATCH("actor_id",movieactor[#Headers],0))</calculatedColumnFormula>
    </tableColumn>
    <tableColumn id="37" xr3:uid="{2D536834-3978-4C01-91A2-A4D4B9DA18CF}" name="name" dataDxfId="3">
      <calculatedColumnFormula>INDEX(actors!A:C,MATCH(Movies[[#This Row],[actor_id]],actors[[#All],[actor_id]],0),MATCH("name",actors[#Headers],0))</calculatedColumnFormula>
    </tableColumn>
    <tableColumn id="38" xr3:uid="{A7B16292-565F-464E-92B7-22405818E0A8}" name="birth_year" dataDxfId="2">
      <calculatedColumnFormula>INDEX(actors!A:C,MATCH(Movies[[#This Row],[actor_id]],actors[[#All],[actor_id]],0),MATCH("birth_year",actors[#Headers],0))</calculatedColumnFormula>
    </tableColumn>
    <tableColumn id="39" xr3:uid="{764C87DB-07AB-42B9-A852-8CF8913C6EF4}" name="language_name" dataDxfId="0">
      <calculatedColumnFormula>INDEX(languages!A:B,MATCH(Movies[[#This Row],[language_id]],languages!A:A,0),MATCH("language_name",languages[#Headers],0))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EC907F-917F-4689-8EAB-F7CEF660B9E4}" name="Financials" displayName="Financials" ref="A1:E41" totalsRowShown="0" headerRowDxfId="28">
  <tableColumns count="5">
    <tableColumn id="1" xr3:uid="{D1A9B0F4-FC15-4DC9-80C7-7EBF56996521}" name="movie_id"/>
    <tableColumn id="2" xr3:uid="{7A82C7E9-BE81-4BFD-9DE1-91C9F01BD827}" name="budget"/>
    <tableColumn id="3" xr3:uid="{965E2B99-FA87-4277-B9CC-A0E3C19DE420}" name="revenue"/>
    <tableColumn id="4" xr3:uid="{96087170-9E57-4229-AC50-74EEA71833C0}" name="unit"/>
    <tableColumn id="5" xr3:uid="{6495EEB2-7844-4F05-9057-6857978F8760}" nam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E9627B-7F83-4E00-A9BD-B2B85ADBBA2F}" name="actors" displayName="actors" ref="A1:C68" totalsRowShown="0" headerRowDxfId="27">
  <tableColumns count="3">
    <tableColumn id="1" xr3:uid="{17C41506-36D4-4294-9829-5A0C52DE3455}" name="actor_id"/>
    <tableColumn id="2" xr3:uid="{2876D79C-DCCC-46A7-9A7C-E9583B5ED0CC}" name="name"/>
    <tableColumn id="3" xr3:uid="{FAFDAD74-E8EF-4409-98E8-FA816AA45652}" name="birth_ye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F3DFB9-F7AC-4F5D-9639-8E5EFD749C75}" name="movieactor" displayName="movieactor" ref="A1:B86" totalsRowShown="0" headerRowDxfId="26">
  <tableColumns count="2">
    <tableColumn id="1" xr3:uid="{726AA249-607F-4CEE-9C80-419BD67B7D42}" name="movie_id"/>
    <tableColumn id="2" xr3:uid="{A11280A0-C25A-482F-B3E4-13975B2F5282}" name="actor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058435-0457-4C21-A779-EC166EB5551A}" name="languages" displayName="languages" ref="A1:B9" totalsRowShown="0" headerRowDxfId="20" dataDxfId="19">
  <tableColumns count="2">
    <tableColumn id="1" xr3:uid="{E256DBAD-6FC6-4A32-8A1D-C74A5F599F74}" name="language_id" dataDxfId="22"/>
    <tableColumn id="2" xr3:uid="{583CF6B9-244C-4D0F-A271-B5A1C600F170}" name="language_name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C1" zoomScaleNormal="100" workbookViewId="0">
      <selection activeCell="O6" sqref="O6"/>
    </sheetView>
  </sheetViews>
  <sheetFormatPr defaultRowHeight="14.5" x14ac:dyDescent="0.35"/>
  <cols>
    <col min="1" max="1" width="8.453125" bestFit="1" customWidth="1"/>
    <col min="2" max="2" width="38.453125" bestFit="1" customWidth="1"/>
    <col min="3" max="3" width="9.7265625" bestFit="1" customWidth="1"/>
    <col min="4" max="4" width="11.453125" bestFit="1" customWidth="1"/>
    <col min="5" max="5" width="11" bestFit="1" customWidth="1"/>
    <col min="6" max="6" width="24.453125" bestFit="1" customWidth="1"/>
    <col min="7" max="7" width="10.81640625" bestFit="1" customWidth="1"/>
    <col min="8" max="8" width="6.7265625" bestFit="1" customWidth="1"/>
    <col min="9" max="9" width="7.6328125" bestFit="1" customWidth="1"/>
    <col min="10" max="10" width="7.36328125" bestFit="1" customWidth="1"/>
    <col min="11" max="11" width="8" bestFit="1" customWidth="1"/>
    <col min="12" max="12" width="7.7265625" bestFit="1" customWidth="1"/>
    <col min="13" max="13" width="20.81640625" bestFit="1" customWidth="1"/>
    <col min="14" max="14" width="9.54296875" bestFit="1" customWidth="1"/>
    <col min="15" max="15" width="14.08984375" bestFit="1" customWidth="1"/>
  </cols>
  <sheetData>
    <row r="1" spans="1:15" x14ac:dyDescent="0.35">
      <c r="A1" s="7" t="s">
        <v>0</v>
      </c>
      <c r="B1" s="8" t="s">
        <v>114</v>
      </c>
      <c r="C1" s="8" t="s">
        <v>1</v>
      </c>
      <c r="D1" s="8" t="s">
        <v>2</v>
      </c>
      <c r="E1" s="8" t="s">
        <v>3</v>
      </c>
      <c r="F1" s="13" t="s">
        <v>4</v>
      </c>
      <c r="G1" s="8" t="s">
        <v>5</v>
      </c>
      <c r="H1" s="8" t="s">
        <v>27</v>
      </c>
      <c r="I1" s="8" t="s">
        <v>28</v>
      </c>
      <c r="J1" s="8" t="s">
        <v>29</v>
      </c>
      <c r="K1" s="8" t="s">
        <v>30</v>
      </c>
      <c r="L1" s="8" t="s">
        <v>35</v>
      </c>
      <c r="M1" s="8" t="s">
        <v>36</v>
      </c>
      <c r="N1" s="8" t="s">
        <v>37</v>
      </c>
      <c r="O1" s="9" t="s">
        <v>158</v>
      </c>
    </row>
    <row r="2" spans="1:15" x14ac:dyDescent="0.35">
      <c r="A2" s="10">
        <v>101</v>
      </c>
      <c r="B2" s="4" t="s">
        <v>119</v>
      </c>
      <c r="C2" s="4" t="s">
        <v>6</v>
      </c>
      <c r="D2" s="4">
        <v>2022</v>
      </c>
      <c r="E2" s="4">
        <v>8.4</v>
      </c>
      <c r="F2" s="6" t="s">
        <v>115</v>
      </c>
      <c r="G2" s="4">
        <v>3</v>
      </c>
      <c r="H2" s="4">
        <f>INDEX(financials!A:E,MATCH(Movies[[#This Row],[movie_id]],Financials[[#All],[movie_id]],0),MATCH("budget",Financials[#Headers],0))</f>
        <v>1</v>
      </c>
      <c r="I2" s="4">
        <f>INDEX(financials!A:E,MATCH(Movies[[#This Row],[movie_id]],Financials[[#All],[movie_id]],0),MATCH("revenue",Financials[#Headers],0))</f>
        <v>12.5</v>
      </c>
      <c r="J2" s="4" t="str">
        <f>INDEX(financials!A:E,MATCH(Movies[[#This Row],[movie_id]],Financials[[#All],[movie_id]],0),MATCH("unit",Financials[#Headers],0))</f>
        <v>Billions</v>
      </c>
      <c r="K2" s="4" t="str">
        <f>INDEX(financials!A:E,MATCH(Movies[[#This Row],[movie_id]],Financials[[#All],[movie_id]],0),MATCH("currency",Financials[#Headers],0))</f>
        <v>INR</v>
      </c>
      <c r="L2" s="14">
        <f>INDEX(movie_actor!A:B,MATCH(Movies[[#This Row],[movie_id]],movie_actor!A:A,0),MATCH("actor_id",movieactor[#Headers],0))</f>
        <v>50</v>
      </c>
      <c r="M2" s="14" t="str">
        <f>INDEX(actors!A:C,MATCH(Movies[[#This Row],[actor_id]],actors[[#All],[actor_id]],0),MATCH("name",actors[#Headers],0))</f>
        <v>Yash</v>
      </c>
      <c r="N2" s="17">
        <f>INDEX(actors!A:C,MATCH(Movies[[#This Row],[actor_id]],actors[[#All],[actor_id]],0),MATCH("birth_year",actors[#Headers],0))</f>
        <v>1986</v>
      </c>
      <c r="O2" s="18" t="str">
        <f>INDEX(languages!A:B,MATCH(Movies[[#This Row],[language_id]],languages!A:A,0),MATCH("language_name",languages[#Headers],0))</f>
        <v>Kannada</v>
      </c>
    </row>
    <row r="3" spans="1:15" x14ac:dyDescent="0.35">
      <c r="A3" s="10">
        <v>102</v>
      </c>
      <c r="B3" s="4" t="s">
        <v>120</v>
      </c>
      <c r="C3" s="4" t="s">
        <v>7</v>
      </c>
      <c r="D3" s="4">
        <v>2022</v>
      </c>
      <c r="E3" s="4">
        <v>7</v>
      </c>
      <c r="F3" s="6" t="s">
        <v>8</v>
      </c>
      <c r="G3" s="4">
        <v>5</v>
      </c>
      <c r="H3" s="4">
        <f>INDEX(financials!A:E,MATCH(Movies[[#This Row],[movie_id]],Financials[[#All],[movie_id]],0),MATCH("budget",Financials[#Headers],0))</f>
        <v>200</v>
      </c>
      <c r="I3" s="4">
        <f>INDEX(financials!A:E,MATCH(Movies[[#This Row],[movie_id]],Financials[[#All],[movie_id]],0),MATCH("revenue",Financials[#Headers],0))</f>
        <v>954.8</v>
      </c>
      <c r="J3" s="4" t="str">
        <f>INDEX(financials!A:E,MATCH(Movies[[#This Row],[movie_id]],Financials[[#All],[movie_id]],0),MATCH("unit",Financials[#Headers],0))</f>
        <v>Millions</v>
      </c>
      <c r="K3" s="4" t="str">
        <f>INDEX(financials!A:E,MATCH(Movies[[#This Row],[movie_id]],Financials[[#All],[movie_id]],0),MATCH("currency",Financials[#Headers],0))</f>
        <v>USD</v>
      </c>
      <c r="L3" s="14">
        <f>INDEX(movie_actor!A:B,MATCH(Movies[[#This Row],[movie_id]],movie_actor!A:A,0),MATCH("actor_id",movieactor[#Headers],0))</f>
        <v>52</v>
      </c>
      <c r="M3" s="14" t="str">
        <f>INDEX(actors!A:C,MATCH(Movies[[#This Row],[actor_id]],actors[[#All],[actor_id]],0),MATCH("name",actors[#Headers],0))</f>
        <v>Benedict Cumberbatch</v>
      </c>
      <c r="N3" s="17">
        <f>INDEX(actors!A:C,MATCH(Movies[[#This Row],[actor_id]],actors[[#All],[actor_id]],0),MATCH("birth_year",actors[#Headers],0))</f>
        <v>1976</v>
      </c>
      <c r="O3" s="18" t="str">
        <f>INDEX(languages!A:B,MATCH(Movies[[#This Row],[language_id]],languages!A:A,0),MATCH("language_name",languages[#Headers],0))</f>
        <v>English</v>
      </c>
    </row>
    <row r="4" spans="1:15" x14ac:dyDescent="0.35">
      <c r="A4" s="10">
        <v>103</v>
      </c>
      <c r="B4" s="4" t="s">
        <v>121</v>
      </c>
      <c r="C4" s="4" t="s">
        <v>7</v>
      </c>
      <c r="D4" s="4">
        <v>2013</v>
      </c>
      <c r="E4" s="4">
        <v>6.8</v>
      </c>
      <c r="F4" s="6" t="s">
        <v>8</v>
      </c>
      <c r="G4" s="4">
        <v>5</v>
      </c>
      <c r="H4" s="4">
        <f>INDEX(financials!A:E,MATCH(Movies[[#This Row],[movie_id]],Financials[[#All],[movie_id]],0),MATCH("budget",Financials[#Headers],0))</f>
        <v>165</v>
      </c>
      <c r="I4" s="4">
        <f>INDEX(financials!A:E,MATCH(Movies[[#This Row],[movie_id]],Financials[[#All],[movie_id]],0),MATCH("revenue",Financials[#Headers],0))</f>
        <v>644.79999999999995</v>
      </c>
      <c r="J4" s="4" t="str">
        <f>INDEX(financials!A:E,MATCH(Movies[[#This Row],[movie_id]],Financials[[#All],[movie_id]],0),MATCH("unit",Financials[#Headers],0))</f>
        <v>Millions</v>
      </c>
      <c r="K4" s="4" t="str">
        <f>INDEX(financials!A:E,MATCH(Movies[[#This Row],[movie_id]],Financials[[#All],[movie_id]],0),MATCH("currency",Financials[#Headers],0))</f>
        <v>USD</v>
      </c>
      <c r="L4" s="14">
        <f>INDEX(movie_actor!A:B,MATCH(Movies[[#This Row],[movie_id]],movie_actor!A:A,0),MATCH("actor_id",movieactor[#Headers],0))</f>
        <v>54</v>
      </c>
      <c r="M4" s="14" t="str">
        <f>INDEX(actors!A:C,MATCH(Movies[[#This Row],[actor_id]],actors[[#All],[actor_id]],0),MATCH("name",actors[#Headers],0))</f>
        <v>Chris Hemsworth</v>
      </c>
      <c r="N4" s="17">
        <f>INDEX(actors!A:C,MATCH(Movies[[#This Row],[actor_id]],actors[[#All],[actor_id]],0),MATCH("birth_year",actors[#Headers],0))</f>
        <v>1983</v>
      </c>
      <c r="O4" s="18" t="str">
        <f>INDEX(languages!A:B,MATCH(Movies[[#This Row],[language_id]],languages!A:A,0),MATCH("language_name",languages[#Headers],0))</f>
        <v>English</v>
      </c>
    </row>
    <row r="5" spans="1:15" x14ac:dyDescent="0.35">
      <c r="A5" s="10">
        <v>104</v>
      </c>
      <c r="B5" s="4" t="s">
        <v>122</v>
      </c>
      <c r="C5" s="4" t="s">
        <v>7</v>
      </c>
      <c r="D5" s="4">
        <v>2017</v>
      </c>
      <c r="E5" s="4">
        <v>7.9</v>
      </c>
      <c r="F5" s="6" t="s">
        <v>8</v>
      </c>
      <c r="G5" s="4">
        <v>5</v>
      </c>
      <c r="H5" s="4">
        <f>INDEX(financials!A:E,MATCH(Movies[[#This Row],[movie_id]],Financials[[#All],[movie_id]],0),MATCH("budget",Financials[#Headers],0))</f>
        <v>180</v>
      </c>
      <c r="I5" s="4">
        <f>INDEX(financials!A:E,MATCH(Movies[[#This Row],[movie_id]],Financials[[#All],[movie_id]],0),MATCH("revenue",Financials[#Headers],0))</f>
        <v>854</v>
      </c>
      <c r="J5" s="4" t="str">
        <f>INDEX(financials!A:E,MATCH(Movies[[#This Row],[movie_id]],Financials[[#All],[movie_id]],0),MATCH("unit",Financials[#Headers],0))</f>
        <v>Millions</v>
      </c>
      <c r="K5" s="4" t="str">
        <f>INDEX(financials!A:E,MATCH(Movies[[#This Row],[movie_id]],Financials[[#All],[movie_id]],0),MATCH("currency",Financials[#Headers],0))</f>
        <v>USD</v>
      </c>
      <c r="L5" s="14">
        <f>INDEX(movie_actor!A:B,MATCH(Movies[[#This Row],[movie_id]],movie_actor!A:A,0),MATCH("actor_id",movieactor[#Headers],0))</f>
        <v>54</v>
      </c>
      <c r="M5" s="14" t="str">
        <f>INDEX(actors!A:C,MATCH(Movies[[#This Row],[actor_id]],actors[[#All],[actor_id]],0),MATCH("name",actors[#Headers],0))</f>
        <v>Chris Hemsworth</v>
      </c>
      <c r="N5" s="17">
        <f>INDEX(actors!A:C,MATCH(Movies[[#This Row],[actor_id]],actors[[#All],[actor_id]],0),MATCH("birth_year",actors[#Headers],0))</f>
        <v>1983</v>
      </c>
      <c r="O5" s="18" t="str">
        <f>INDEX(languages!A:B,MATCH(Movies[[#This Row],[language_id]],languages!A:A,0),MATCH("language_name",languages[#Headers],0))</f>
        <v>English</v>
      </c>
    </row>
    <row r="6" spans="1:15" x14ac:dyDescent="0.35">
      <c r="A6" s="10">
        <v>105</v>
      </c>
      <c r="B6" s="4" t="s">
        <v>123</v>
      </c>
      <c r="C6" s="4" t="s">
        <v>7</v>
      </c>
      <c r="D6" s="4">
        <v>2022</v>
      </c>
      <c r="E6" s="4">
        <v>6.8</v>
      </c>
      <c r="F6" s="6" t="s">
        <v>8</v>
      </c>
      <c r="G6" s="4">
        <v>5</v>
      </c>
      <c r="H6" s="4">
        <f>INDEX(financials!A:E,MATCH(Movies[[#This Row],[movie_id]],Financials[[#All],[movie_id]],0),MATCH("budget",Financials[#Headers],0))</f>
        <v>250</v>
      </c>
      <c r="I6" s="4">
        <f>INDEX(financials!A:E,MATCH(Movies[[#This Row],[movie_id]],Financials[[#All],[movie_id]],0),MATCH("revenue",Financials[#Headers],0))</f>
        <v>670</v>
      </c>
      <c r="J6" s="4" t="str">
        <f>INDEX(financials!A:E,MATCH(Movies[[#This Row],[movie_id]],Financials[[#All],[movie_id]],0),MATCH("unit",Financials[#Headers],0))</f>
        <v>Millions</v>
      </c>
      <c r="K6" s="4" t="str">
        <f>INDEX(financials!A:E,MATCH(Movies[[#This Row],[movie_id]],Financials[[#All],[movie_id]],0),MATCH("currency",Financials[#Headers],0))</f>
        <v>USD</v>
      </c>
      <c r="L6" s="14">
        <f>INDEX(movie_actor!A:B,MATCH(Movies[[#This Row],[movie_id]],movie_actor!A:A,0),MATCH("actor_id",movieactor[#Headers],0))</f>
        <v>54</v>
      </c>
      <c r="M6" s="14" t="str">
        <f>INDEX(actors!A:C,MATCH(Movies[[#This Row],[actor_id]],actors[[#All],[actor_id]],0),MATCH("name",actors[#Headers],0))</f>
        <v>Chris Hemsworth</v>
      </c>
      <c r="N6" s="17">
        <f>INDEX(actors!A:C,MATCH(Movies[[#This Row],[actor_id]],actors[[#All],[actor_id]],0),MATCH("birth_year",actors[#Headers],0))</f>
        <v>1983</v>
      </c>
      <c r="O6" s="18" t="str">
        <f>INDEX(languages!A:B,MATCH(Movies[[#This Row],[language_id]],languages!A:A,0),MATCH("language_name",languages[#Headers],0))</f>
        <v>English</v>
      </c>
    </row>
    <row r="7" spans="1:15" x14ac:dyDescent="0.35">
      <c r="A7" s="10">
        <v>106</v>
      </c>
      <c r="B7" s="4" t="s">
        <v>124</v>
      </c>
      <c r="C7" s="4" t="s">
        <v>6</v>
      </c>
      <c r="D7" s="4">
        <v>1975</v>
      </c>
      <c r="E7" s="4">
        <v>8.1</v>
      </c>
      <c r="F7" s="6" t="s">
        <v>9</v>
      </c>
      <c r="G7" s="4">
        <v>1</v>
      </c>
      <c r="H7" s="4" t="e">
        <f>INDEX(financials!A:E,MATCH(Movies[[#This Row],[movie_id]],Financials[[#All],[movie_id]],0),MATCH("budget",Financials[#Headers],0))</f>
        <v>#N/A</v>
      </c>
      <c r="I7" s="4" t="e">
        <f>INDEX(financials!A:E,MATCH(Movies[[#This Row],[movie_id]],Financials[[#All],[movie_id]],0),MATCH("revenue",Financials[#Headers],0))</f>
        <v>#N/A</v>
      </c>
      <c r="J7" s="4" t="e">
        <f>INDEX(financials!A:E,MATCH(Movies[[#This Row],[movie_id]],Financials[[#All],[movie_id]],0),MATCH("unit",Financials[#Headers],0))</f>
        <v>#N/A</v>
      </c>
      <c r="K7" s="4" t="e">
        <f>INDEX(financials!A:E,MATCH(Movies[[#This Row],[movie_id]],Financials[[#All],[movie_id]],0),MATCH("currency",Financials[#Headers],0))</f>
        <v>#N/A</v>
      </c>
      <c r="L7" s="14">
        <f>INDEX(movie_actor!A:B,MATCH(Movies[[#This Row],[movie_id]],movie_actor!A:A,0),MATCH("actor_id",movieactor[#Headers],0))</f>
        <v>57</v>
      </c>
      <c r="M7" s="14" t="str">
        <f>INDEX(actors!A:C,MATCH(Movies[[#This Row],[actor_id]],actors[[#All],[actor_id]],0),MATCH("name",actors[#Headers],0))</f>
        <v>Amitabh Bachchan</v>
      </c>
      <c r="N7" s="17">
        <f>INDEX(actors!A:C,MATCH(Movies[[#This Row],[actor_id]],actors[[#All],[actor_id]],0),MATCH("birth_year",actors[#Headers],0))</f>
        <v>1942</v>
      </c>
      <c r="O7" s="18" t="str">
        <f>INDEX(languages!A:B,MATCH(Movies[[#This Row],[language_id]],languages!A:A,0),MATCH("language_name",languages[#Headers],0))</f>
        <v>Hindi</v>
      </c>
    </row>
    <row r="8" spans="1:15" x14ac:dyDescent="0.35">
      <c r="A8" s="10">
        <v>107</v>
      </c>
      <c r="B8" s="4" t="s">
        <v>125</v>
      </c>
      <c r="C8" s="4" t="s">
        <v>6</v>
      </c>
      <c r="D8" s="4">
        <v>1995</v>
      </c>
      <c r="E8" s="4">
        <v>8</v>
      </c>
      <c r="F8" s="6" t="s">
        <v>10</v>
      </c>
      <c r="G8" s="4">
        <v>1</v>
      </c>
      <c r="H8" s="4">
        <f>INDEX(financials!A:E,MATCH(Movies[[#This Row],[movie_id]],Financials[[#All],[movie_id]],0),MATCH("budget",Financials[#Headers],0))</f>
        <v>400</v>
      </c>
      <c r="I8" s="4">
        <f>INDEX(financials!A:E,MATCH(Movies[[#This Row],[movie_id]],Financials[[#All],[movie_id]],0),MATCH("revenue",Financials[#Headers],0))</f>
        <v>2000</v>
      </c>
      <c r="J8" s="4" t="str">
        <f>INDEX(financials!A:E,MATCH(Movies[[#This Row],[movie_id]],Financials[[#All],[movie_id]],0),MATCH("unit",Financials[#Headers],0))</f>
        <v>Millions</v>
      </c>
      <c r="K8" s="4" t="str">
        <f>INDEX(financials!A:E,MATCH(Movies[[#This Row],[movie_id]],Financials[[#All],[movie_id]],0),MATCH("currency",Financials[#Headers],0))</f>
        <v>INR</v>
      </c>
      <c r="L8" s="14">
        <f>INDEX(movie_actor!A:B,MATCH(Movies[[#This Row],[movie_id]],movie_actor!A:A,0),MATCH("actor_id",movieactor[#Headers],0))</f>
        <v>59</v>
      </c>
      <c r="M8" s="14" t="str">
        <f>INDEX(actors!A:C,MATCH(Movies[[#This Row],[actor_id]],actors[[#All],[actor_id]],0),MATCH("name",actors[#Headers],0))</f>
        <v>Shah Rukh Khan</v>
      </c>
      <c r="N8" s="17">
        <f>INDEX(actors!A:C,MATCH(Movies[[#This Row],[actor_id]],actors[[#All],[actor_id]],0),MATCH("birth_year",actors[#Headers],0))</f>
        <v>1965</v>
      </c>
      <c r="O8" s="18" t="str">
        <f>INDEX(languages!A:B,MATCH(Movies[[#This Row],[language_id]],languages!A:A,0),MATCH("language_name",languages[#Headers],0))</f>
        <v>Hindi</v>
      </c>
    </row>
    <row r="9" spans="1:15" x14ac:dyDescent="0.35">
      <c r="A9" s="10">
        <v>108</v>
      </c>
      <c r="B9" s="4" t="s">
        <v>126</v>
      </c>
      <c r="C9" s="4" t="s">
        <v>6</v>
      </c>
      <c r="D9" s="4">
        <v>2009</v>
      </c>
      <c r="E9" s="4">
        <v>8.4</v>
      </c>
      <c r="F9" s="6" t="s">
        <v>11</v>
      </c>
      <c r="G9" s="4">
        <v>1</v>
      </c>
      <c r="H9" s="4">
        <f>INDEX(financials!A:E,MATCH(Movies[[#This Row],[movie_id]],Financials[[#All],[movie_id]],0),MATCH("budget",Financials[#Headers],0))</f>
        <v>550</v>
      </c>
      <c r="I9" s="4">
        <f>INDEX(financials!A:E,MATCH(Movies[[#This Row],[movie_id]],Financials[[#All],[movie_id]],0),MATCH("revenue",Financials[#Headers],0))</f>
        <v>4000</v>
      </c>
      <c r="J9" s="4" t="str">
        <f>INDEX(financials!A:E,MATCH(Movies[[#This Row],[movie_id]],Financials[[#All],[movie_id]],0),MATCH("unit",Financials[#Headers],0))</f>
        <v>Millions</v>
      </c>
      <c r="K9" s="4" t="str">
        <f>INDEX(financials!A:E,MATCH(Movies[[#This Row],[movie_id]],Financials[[#All],[movie_id]],0),MATCH("currency",Financials[#Headers],0))</f>
        <v>INR</v>
      </c>
      <c r="L9" s="14">
        <f>INDEX(movie_actor!A:B,MATCH(Movies[[#This Row],[movie_id]],movie_actor!A:A,0),MATCH("actor_id",movieactor[#Headers],0))</f>
        <v>61</v>
      </c>
      <c r="M9" s="14" t="str">
        <f>INDEX(actors!A:C,MATCH(Movies[[#This Row],[actor_id]],actors[[#All],[actor_id]],0),MATCH("name",actors[#Headers],0))</f>
        <v>Aamir Khan</v>
      </c>
      <c r="N9" s="17">
        <f>INDEX(actors!A:C,MATCH(Movies[[#This Row],[actor_id]],actors[[#All],[actor_id]],0),MATCH("birth_year",actors[#Headers],0))</f>
        <v>1965</v>
      </c>
      <c r="O9" s="18" t="str">
        <f>INDEX(languages!A:B,MATCH(Movies[[#This Row],[language_id]],languages!A:A,0),MATCH("language_name",languages[#Headers],0))</f>
        <v>Hindi</v>
      </c>
    </row>
    <row r="10" spans="1:15" x14ac:dyDescent="0.35">
      <c r="A10" s="10">
        <v>109</v>
      </c>
      <c r="B10" s="4" t="s">
        <v>127</v>
      </c>
      <c r="C10" s="4" t="s">
        <v>6</v>
      </c>
      <c r="D10" s="4">
        <v>2001</v>
      </c>
      <c r="E10" s="4">
        <v>7.4</v>
      </c>
      <c r="F10" s="6" t="s">
        <v>12</v>
      </c>
      <c r="G10" s="4">
        <v>1</v>
      </c>
      <c r="H10" s="4">
        <f>INDEX(financials!A:E,MATCH(Movies[[#This Row],[movie_id]],Financials[[#All],[movie_id]],0),MATCH("budget",Financials[#Headers],0))</f>
        <v>390</v>
      </c>
      <c r="I10" s="4">
        <f>INDEX(financials!A:E,MATCH(Movies[[#This Row],[movie_id]],Financials[[#All],[movie_id]],0),MATCH("revenue",Financials[#Headers],0))</f>
        <v>1360</v>
      </c>
      <c r="J10" s="4" t="str">
        <f>INDEX(financials!A:E,MATCH(Movies[[#This Row],[movie_id]],Financials[[#All],[movie_id]],0),MATCH("unit",Financials[#Headers],0))</f>
        <v>Millions</v>
      </c>
      <c r="K10" s="4" t="str">
        <f>INDEX(financials!A:E,MATCH(Movies[[#This Row],[movie_id]],Financials[[#All],[movie_id]],0),MATCH("currency",Financials[#Headers],0))</f>
        <v>INR</v>
      </c>
      <c r="L10" s="14">
        <f>INDEX(movie_actor!A:B,MATCH(Movies[[#This Row],[movie_id]],movie_actor!A:A,0),MATCH("actor_id",movieactor[#Headers],0))</f>
        <v>59</v>
      </c>
      <c r="M10" s="14" t="str">
        <f>INDEX(actors!A:C,MATCH(Movies[[#This Row],[actor_id]],actors[[#All],[actor_id]],0),MATCH("name",actors[#Headers],0))</f>
        <v>Shah Rukh Khan</v>
      </c>
      <c r="N10" s="17">
        <f>INDEX(actors!A:C,MATCH(Movies[[#This Row],[actor_id]],actors[[#All],[actor_id]],0),MATCH("birth_year",actors[#Headers],0))</f>
        <v>1965</v>
      </c>
      <c r="O10" s="18" t="str">
        <f>INDEX(languages!A:B,MATCH(Movies[[#This Row],[language_id]],languages!A:A,0),MATCH("language_name",languages[#Headers],0))</f>
        <v>Hindi</v>
      </c>
    </row>
    <row r="11" spans="1:15" x14ac:dyDescent="0.35">
      <c r="A11" s="10">
        <v>110</v>
      </c>
      <c r="B11" s="4" t="s">
        <v>128</v>
      </c>
      <c r="C11" s="4" t="s">
        <v>6</v>
      </c>
      <c r="D11" s="4">
        <v>2015</v>
      </c>
      <c r="E11" s="4">
        <v>7.2</v>
      </c>
      <c r="F11" s="6" t="s">
        <v>116</v>
      </c>
      <c r="G11" s="4">
        <v>1</v>
      </c>
      <c r="H11" s="4">
        <f>INDEX(financials!A:E,MATCH(Movies[[#This Row],[movie_id]],Financials[[#All],[movie_id]],0),MATCH("budget",Financials[#Headers],0))</f>
        <v>1.4</v>
      </c>
      <c r="I11" s="4">
        <f>INDEX(financials!A:E,MATCH(Movies[[#This Row],[movie_id]],Financials[[#All],[movie_id]],0),MATCH("revenue",Financials[#Headers],0))</f>
        <v>3.5</v>
      </c>
      <c r="J11" s="4" t="str">
        <f>INDEX(financials!A:E,MATCH(Movies[[#This Row],[movie_id]],Financials[[#All],[movie_id]],0),MATCH("unit",Financials[#Headers],0))</f>
        <v>Billions</v>
      </c>
      <c r="K11" s="4" t="str">
        <f>INDEX(financials!A:E,MATCH(Movies[[#This Row],[movie_id]],Financials[[#All],[movie_id]],0),MATCH("currency",Financials[#Headers],0))</f>
        <v>INR</v>
      </c>
      <c r="L11" s="14">
        <f>INDEX(movie_actor!A:B,MATCH(Movies[[#This Row],[movie_id]],movie_actor!A:A,0),MATCH("actor_id",movieactor[#Headers],0))</f>
        <v>65</v>
      </c>
      <c r="M11" s="14" t="str">
        <f>INDEX(actors!A:C,MATCH(Movies[[#This Row],[actor_id]],actors[[#All],[actor_id]],0),MATCH("name",actors[#Headers],0))</f>
        <v>Ranveer Singh</v>
      </c>
      <c r="N11" s="17">
        <f>INDEX(actors!A:C,MATCH(Movies[[#This Row],[actor_id]],actors[[#All],[actor_id]],0),MATCH("birth_year",actors[#Headers],0))</f>
        <v>1985</v>
      </c>
      <c r="O11" s="18" t="str">
        <f>INDEX(languages!A:B,MATCH(Movies[[#This Row],[language_id]],languages!A:A,0),MATCH("language_name",languages[#Headers],0))</f>
        <v>Hindi</v>
      </c>
    </row>
    <row r="12" spans="1:15" x14ac:dyDescent="0.35">
      <c r="A12" s="10">
        <v>111</v>
      </c>
      <c r="B12" s="4" t="s">
        <v>129</v>
      </c>
      <c r="C12" s="4" t="s">
        <v>7</v>
      </c>
      <c r="D12" s="4">
        <v>1994</v>
      </c>
      <c r="E12" s="4">
        <v>9.3000000000000007</v>
      </c>
      <c r="F12" s="6" t="s">
        <v>13</v>
      </c>
      <c r="G12" s="4">
        <v>5</v>
      </c>
      <c r="H12" s="4">
        <f>INDEX(financials!A:E,MATCH(Movies[[#This Row],[movie_id]],Financials[[#All],[movie_id]],0),MATCH("budget",Financials[#Headers],0))</f>
        <v>25</v>
      </c>
      <c r="I12" s="4">
        <f>INDEX(financials!A:E,MATCH(Movies[[#This Row],[movie_id]],Financials[[#All],[movie_id]],0),MATCH("revenue",Financials[#Headers],0))</f>
        <v>73.3</v>
      </c>
      <c r="J12" s="4" t="str">
        <f>INDEX(financials!A:E,MATCH(Movies[[#This Row],[movie_id]],Financials[[#All],[movie_id]],0),MATCH("unit",Financials[#Headers],0))</f>
        <v>Millions</v>
      </c>
      <c r="K12" s="4" t="str">
        <f>INDEX(financials!A:E,MATCH(Movies[[#This Row],[movie_id]],Financials[[#All],[movie_id]],0),MATCH("currency",Financials[#Headers],0))</f>
        <v>USD</v>
      </c>
      <c r="L12" s="14">
        <f>INDEX(movie_actor!A:B,MATCH(Movies[[#This Row],[movie_id]],movie_actor!A:A,0),MATCH("actor_id",movieactor[#Headers],0))</f>
        <v>67</v>
      </c>
      <c r="M12" s="14" t="str">
        <f>INDEX(actors!A:C,MATCH(Movies[[#This Row],[actor_id]],actors[[#All],[actor_id]],0),MATCH("name",actors[#Headers],0))</f>
        <v>Tim Robbins</v>
      </c>
      <c r="N12" s="17">
        <f>INDEX(actors!A:C,MATCH(Movies[[#This Row],[actor_id]],actors[[#All],[actor_id]],0),MATCH("birth_year",actors[#Headers],0))</f>
        <v>1958</v>
      </c>
      <c r="O12" s="18" t="str">
        <f>INDEX(languages!A:B,MATCH(Movies[[#This Row],[language_id]],languages!A:A,0),MATCH("language_name",languages[#Headers],0))</f>
        <v>English</v>
      </c>
    </row>
    <row r="13" spans="1:15" x14ac:dyDescent="0.35">
      <c r="A13" s="10">
        <v>112</v>
      </c>
      <c r="B13" s="4" t="s">
        <v>130</v>
      </c>
      <c r="C13" s="4" t="s">
        <v>7</v>
      </c>
      <c r="D13" s="4">
        <v>2010</v>
      </c>
      <c r="E13" s="4">
        <v>8.8000000000000007</v>
      </c>
      <c r="F13" s="6" t="s">
        <v>14</v>
      </c>
      <c r="G13" s="4">
        <v>5</v>
      </c>
      <c r="H13" s="4" t="e">
        <f>INDEX(financials!A:E,MATCH(Movies[[#This Row],[movie_id]],Financials[[#All],[movie_id]],0),MATCH("budget",Financials[#Headers],0))</f>
        <v>#N/A</v>
      </c>
      <c r="I13" s="4" t="e">
        <f>INDEX(financials!A:E,MATCH(Movies[[#This Row],[movie_id]],Financials[[#All],[movie_id]],0),MATCH("revenue",Financials[#Headers],0))</f>
        <v>#N/A</v>
      </c>
      <c r="J13" s="4" t="e">
        <f>INDEX(financials!A:E,MATCH(Movies[[#This Row],[movie_id]],Financials[[#All],[movie_id]],0),MATCH("unit",Financials[#Headers],0))</f>
        <v>#N/A</v>
      </c>
      <c r="K13" s="4" t="e">
        <f>INDEX(financials!A:E,MATCH(Movies[[#This Row],[movie_id]],Financials[[#All],[movie_id]],0),MATCH("currency",Financials[#Headers],0))</f>
        <v>#N/A</v>
      </c>
      <c r="L13" s="14">
        <f>INDEX(movie_actor!A:B,MATCH(Movies[[#This Row],[movie_id]],movie_actor!A:A,0),MATCH("actor_id",movieactor[#Headers],0))</f>
        <v>69</v>
      </c>
      <c r="M13" s="14" t="str">
        <f>INDEX(actors!A:C,MATCH(Movies[[#This Row],[actor_id]],actors[[#All],[actor_id]],0),MATCH("name",actors[#Headers],0))</f>
        <v>Leonardo DiCaprio</v>
      </c>
      <c r="N13" s="17">
        <f>INDEX(actors!A:C,MATCH(Movies[[#This Row],[actor_id]],actors[[#All],[actor_id]],0),MATCH("birth_year",actors[#Headers],0))</f>
        <v>1974</v>
      </c>
      <c r="O13" s="18" t="str">
        <f>INDEX(languages!A:B,MATCH(Movies[[#This Row],[language_id]],languages!A:A,0),MATCH("language_name",languages[#Headers],0))</f>
        <v>English</v>
      </c>
    </row>
    <row r="14" spans="1:15" x14ac:dyDescent="0.35">
      <c r="A14" s="10">
        <v>113</v>
      </c>
      <c r="B14" s="4" t="s">
        <v>131</v>
      </c>
      <c r="C14" s="4" t="s">
        <v>7</v>
      </c>
      <c r="D14" s="4">
        <v>2014</v>
      </c>
      <c r="E14" s="4">
        <v>8.6</v>
      </c>
      <c r="F14" s="6" t="s">
        <v>14</v>
      </c>
      <c r="G14" s="4">
        <v>5</v>
      </c>
      <c r="H14" s="4">
        <f>INDEX(financials!A:E,MATCH(Movies[[#This Row],[movie_id]],Financials[[#All],[movie_id]],0),MATCH("budget",Financials[#Headers],0))</f>
        <v>165</v>
      </c>
      <c r="I14" s="4">
        <f>INDEX(financials!A:E,MATCH(Movies[[#This Row],[movie_id]],Financials[[#All],[movie_id]],0),MATCH("revenue",Financials[#Headers],0))</f>
        <v>701.8</v>
      </c>
      <c r="J14" s="4" t="str">
        <f>INDEX(financials!A:E,MATCH(Movies[[#This Row],[movie_id]],Financials[[#All],[movie_id]],0),MATCH("unit",Financials[#Headers],0))</f>
        <v>Millions</v>
      </c>
      <c r="K14" s="4" t="str">
        <f>INDEX(financials!A:E,MATCH(Movies[[#This Row],[movie_id]],Financials[[#All],[movie_id]],0),MATCH("currency",Financials[#Headers],0))</f>
        <v>USD</v>
      </c>
      <c r="L14" s="14">
        <f>INDEX(movie_actor!A:B,MATCH(Movies[[#This Row],[movie_id]],movie_actor!A:A,0),MATCH("actor_id",movieactor[#Headers],0))</f>
        <v>71</v>
      </c>
      <c r="M14" s="14" t="str">
        <f>INDEX(actors!A:C,MATCH(Movies[[#This Row],[actor_id]],actors[[#All],[actor_id]],0),MATCH("name",actors[#Headers],0))</f>
        <v>Matthew McConaughey</v>
      </c>
      <c r="N14" s="17">
        <f>INDEX(actors!A:C,MATCH(Movies[[#This Row],[actor_id]],actors[[#All],[actor_id]],0),MATCH("birth_year",actors[#Headers],0))</f>
        <v>1969</v>
      </c>
      <c r="O14" s="18" t="str">
        <f>INDEX(languages!A:B,MATCH(Movies[[#This Row],[language_id]],languages!A:A,0),MATCH("language_name",languages[#Headers],0))</f>
        <v>English</v>
      </c>
    </row>
    <row r="15" spans="1:15" x14ac:dyDescent="0.35">
      <c r="A15" s="10">
        <v>115</v>
      </c>
      <c r="B15" s="4" t="s">
        <v>132</v>
      </c>
      <c r="C15" s="4" t="s">
        <v>7</v>
      </c>
      <c r="D15" s="4">
        <v>2006</v>
      </c>
      <c r="E15" s="4">
        <v>8</v>
      </c>
      <c r="F15" s="6" t="s">
        <v>15</v>
      </c>
      <c r="G15" s="4">
        <v>5</v>
      </c>
      <c r="H15" s="4">
        <f>INDEX(financials!A:E,MATCH(Movies[[#This Row],[movie_id]],Financials[[#All],[movie_id]],0),MATCH("budget",Financials[#Headers],0))</f>
        <v>55</v>
      </c>
      <c r="I15" s="4">
        <f>INDEX(financials!A:E,MATCH(Movies[[#This Row],[movie_id]],Financials[[#All],[movie_id]],0),MATCH("revenue",Financials[#Headers],0))</f>
        <v>307.10000000000002</v>
      </c>
      <c r="J15" s="4" t="str">
        <f>INDEX(financials!A:E,MATCH(Movies[[#This Row],[movie_id]],Financials[[#All],[movie_id]],0),MATCH("unit",Financials[#Headers],0))</f>
        <v>Millions</v>
      </c>
      <c r="K15" s="4" t="str">
        <f>INDEX(financials!A:E,MATCH(Movies[[#This Row],[movie_id]],Financials[[#All],[movie_id]],0),MATCH("currency",Financials[#Headers],0))</f>
        <v>USD</v>
      </c>
      <c r="L15" s="14">
        <f>INDEX(movie_actor!A:B,MATCH(Movies[[#This Row],[movie_id]],movie_actor!A:A,0),MATCH("actor_id",movieactor[#Headers],0))</f>
        <v>75</v>
      </c>
      <c r="M15" s="14" t="str">
        <f>INDEX(actors!A:C,MATCH(Movies[[#This Row],[actor_id]],actors[[#All],[actor_id]],0),MATCH("name",actors[#Headers],0))</f>
        <v>Will Smith</v>
      </c>
      <c r="N15" s="17">
        <f>INDEX(actors!A:C,MATCH(Movies[[#This Row],[actor_id]],actors[[#All],[actor_id]],0),MATCH("birth_year",actors[#Headers],0))</f>
        <v>1968</v>
      </c>
      <c r="O15" s="18" t="str">
        <f>INDEX(languages!A:B,MATCH(Movies[[#This Row],[language_id]],languages!A:A,0),MATCH("language_name",languages[#Headers],0))</f>
        <v>English</v>
      </c>
    </row>
    <row r="16" spans="1:15" x14ac:dyDescent="0.35">
      <c r="A16" s="10">
        <v>116</v>
      </c>
      <c r="B16" s="4" t="s">
        <v>133</v>
      </c>
      <c r="C16" s="4" t="s">
        <v>7</v>
      </c>
      <c r="D16" s="4">
        <v>2000</v>
      </c>
      <c r="E16" s="4">
        <v>8.5</v>
      </c>
      <c r="F16" s="6" t="s">
        <v>20</v>
      </c>
      <c r="G16" s="4">
        <v>5</v>
      </c>
      <c r="H16" s="4">
        <f>INDEX(financials!A:E,MATCH(Movies[[#This Row],[movie_id]],Financials[[#All],[movie_id]],0),MATCH("budget",Financials[#Headers],0))</f>
        <v>103</v>
      </c>
      <c r="I16" s="4">
        <f>INDEX(financials!A:E,MATCH(Movies[[#This Row],[movie_id]],Financials[[#All],[movie_id]],0),MATCH("revenue",Financials[#Headers],0))</f>
        <v>460.5</v>
      </c>
      <c r="J16" s="4" t="str">
        <f>INDEX(financials!A:E,MATCH(Movies[[#This Row],[movie_id]],Financials[[#All],[movie_id]],0),MATCH("unit",Financials[#Headers],0))</f>
        <v>Millions</v>
      </c>
      <c r="K16" s="4" t="str">
        <f>INDEX(financials!A:E,MATCH(Movies[[#This Row],[movie_id]],Financials[[#All],[movie_id]],0),MATCH("currency",Financials[#Headers],0))</f>
        <v>USD</v>
      </c>
      <c r="L16" s="14">
        <f>INDEX(movie_actor!A:B,MATCH(Movies[[#This Row],[movie_id]],movie_actor!A:A,0),MATCH("actor_id",movieactor[#Headers],0))</f>
        <v>77</v>
      </c>
      <c r="M16" s="14" t="str">
        <f>INDEX(actors!A:C,MATCH(Movies[[#This Row],[actor_id]],actors[[#All],[actor_id]],0),MATCH("name",actors[#Headers],0))</f>
        <v>Russell Crowe</v>
      </c>
      <c r="N16" s="17">
        <f>INDEX(actors!A:C,MATCH(Movies[[#This Row],[actor_id]],actors[[#All],[actor_id]],0),MATCH("birth_year",actors[#Headers],0))</f>
        <v>1964</v>
      </c>
      <c r="O16" s="18" t="str">
        <f>INDEX(languages!A:B,MATCH(Movies[[#This Row],[language_id]],languages!A:A,0),MATCH("language_name",languages[#Headers],0))</f>
        <v>English</v>
      </c>
    </row>
    <row r="17" spans="1:15" x14ac:dyDescent="0.35">
      <c r="A17" s="10">
        <v>117</v>
      </c>
      <c r="B17" s="4" t="s">
        <v>134</v>
      </c>
      <c r="C17" s="4" t="s">
        <v>7</v>
      </c>
      <c r="D17" s="4">
        <v>1997</v>
      </c>
      <c r="E17" s="4">
        <v>7.9</v>
      </c>
      <c r="F17" s="6" t="s">
        <v>16</v>
      </c>
      <c r="G17" s="4">
        <v>5</v>
      </c>
      <c r="H17" s="4">
        <f>INDEX(financials!A:E,MATCH(Movies[[#This Row],[movie_id]],Financials[[#All],[movie_id]],0),MATCH("budget",Financials[#Headers],0))</f>
        <v>200</v>
      </c>
      <c r="I17" s="4">
        <f>INDEX(financials!A:E,MATCH(Movies[[#This Row],[movie_id]],Financials[[#All],[movie_id]],0),MATCH("revenue",Financials[#Headers],0))</f>
        <v>2202</v>
      </c>
      <c r="J17" s="4" t="str">
        <f>INDEX(financials!A:E,MATCH(Movies[[#This Row],[movie_id]],Financials[[#All],[movie_id]],0),MATCH("unit",Financials[#Headers],0))</f>
        <v>Millions</v>
      </c>
      <c r="K17" s="4" t="str">
        <f>INDEX(financials!A:E,MATCH(Movies[[#This Row],[movie_id]],Financials[[#All],[movie_id]],0),MATCH("currency",Financials[#Headers],0))</f>
        <v>USD</v>
      </c>
      <c r="L17" s="14">
        <f>INDEX(movie_actor!A:B,MATCH(Movies[[#This Row],[movie_id]],movie_actor!A:A,0),MATCH("actor_id",movieactor[#Headers],0))</f>
        <v>69</v>
      </c>
      <c r="M17" s="14" t="str">
        <f>INDEX(actors!A:C,MATCH(Movies[[#This Row],[actor_id]],actors[[#All],[actor_id]],0),MATCH("name",actors[#Headers],0))</f>
        <v>Leonardo DiCaprio</v>
      </c>
      <c r="N17" s="17">
        <f>INDEX(actors!A:C,MATCH(Movies[[#This Row],[actor_id]],actors[[#All],[actor_id]],0),MATCH("birth_year",actors[#Headers],0))</f>
        <v>1974</v>
      </c>
      <c r="O17" s="18" t="str">
        <f>INDEX(languages!A:B,MATCH(Movies[[#This Row],[language_id]],languages!A:A,0),MATCH("language_name",languages[#Headers],0))</f>
        <v>English</v>
      </c>
    </row>
    <row r="18" spans="1:15" x14ac:dyDescent="0.35">
      <c r="A18" s="10">
        <v>118</v>
      </c>
      <c r="B18" s="4" t="s">
        <v>135</v>
      </c>
      <c r="C18" s="4" t="s">
        <v>7</v>
      </c>
      <c r="D18" s="4">
        <v>1946</v>
      </c>
      <c r="E18" s="4">
        <v>8.6</v>
      </c>
      <c r="F18" s="6" t="s">
        <v>17</v>
      </c>
      <c r="G18" s="4">
        <v>5</v>
      </c>
      <c r="H18" s="4">
        <f>INDEX(financials!A:E,MATCH(Movies[[#This Row],[movie_id]],Financials[[#All],[movie_id]],0),MATCH("budget",Financials[#Headers],0))</f>
        <v>3.18</v>
      </c>
      <c r="I18" s="4">
        <f>INDEX(financials!A:E,MATCH(Movies[[#This Row],[movie_id]],Financials[[#All],[movie_id]],0),MATCH("revenue",Financials[#Headers],0))</f>
        <v>3.3</v>
      </c>
      <c r="J18" s="4" t="str">
        <f>INDEX(financials!A:E,MATCH(Movies[[#This Row],[movie_id]],Financials[[#All],[movie_id]],0),MATCH("unit",Financials[#Headers],0))</f>
        <v>Millions</v>
      </c>
      <c r="K18" s="4" t="str">
        <f>INDEX(financials!A:E,MATCH(Movies[[#This Row],[movie_id]],Financials[[#All],[movie_id]],0),MATCH("currency",Financials[#Headers],0))</f>
        <v>USD</v>
      </c>
      <c r="L18" s="14">
        <f>INDEX(movie_actor!A:B,MATCH(Movies[[#This Row],[movie_id]],movie_actor!A:A,0),MATCH("actor_id",movieactor[#Headers],0))</f>
        <v>80</v>
      </c>
      <c r="M18" s="14" t="str">
        <f>INDEX(actors!A:C,MATCH(Movies[[#This Row],[actor_id]],actors[[#All],[actor_id]],0),MATCH("name",actors[#Headers],0))</f>
        <v>James Stewart</v>
      </c>
      <c r="N18" s="17">
        <f>INDEX(actors!A:C,MATCH(Movies[[#This Row],[actor_id]],actors[[#All],[actor_id]],0),MATCH("birth_year",actors[#Headers],0))</f>
        <v>1908</v>
      </c>
      <c r="O18" s="18" t="str">
        <f>INDEX(languages!A:B,MATCH(Movies[[#This Row],[language_id]],languages!A:A,0),MATCH("language_name",languages[#Headers],0))</f>
        <v>English</v>
      </c>
    </row>
    <row r="19" spans="1:15" x14ac:dyDescent="0.35">
      <c r="A19" s="10">
        <v>119</v>
      </c>
      <c r="B19" s="4" t="s">
        <v>136</v>
      </c>
      <c r="C19" s="4" t="s">
        <v>7</v>
      </c>
      <c r="D19" s="4">
        <v>2009</v>
      </c>
      <c r="E19" s="4">
        <v>7.8</v>
      </c>
      <c r="F19" s="6" t="s">
        <v>18</v>
      </c>
      <c r="G19" s="4">
        <v>5</v>
      </c>
      <c r="H19" s="4">
        <f>INDEX(financials!A:E,MATCH(Movies[[#This Row],[movie_id]],Financials[[#All],[movie_id]],0),MATCH("budget",Financials[#Headers],0))</f>
        <v>237</v>
      </c>
      <c r="I19" s="4">
        <f>INDEX(financials!A:E,MATCH(Movies[[#This Row],[movie_id]],Financials[[#All],[movie_id]],0),MATCH("revenue",Financials[#Headers],0))</f>
        <v>2847</v>
      </c>
      <c r="J19" s="4" t="str">
        <f>INDEX(financials!A:E,MATCH(Movies[[#This Row],[movie_id]],Financials[[#All],[movie_id]],0),MATCH("unit",Financials[#Headers],0))</f>
        <v>Millions</v>
      </c>
      <c r="K19" s="4" t="str">
        <f>INDEX(financials!A:E,MATCH(Movies[[#This Row],[movie_id]],Financials[[#All],[movie_id]],0),MATCH("currency",Financials[#Headers],0))</f>
        <v>USD</v>
      </c>
      <c r="L19" s="14">
        <f>INDEX(movie_actor!A:B,MATCH(Movies[[#This Row],[movie_id]],movie_actor!A:A,0),MATCH("actor_id",movieactor[#Headers],0))</f>
        <v>82</v>
      </c>
      <c r="M19" s="14" t="str">
        <f>INDEX(actors!A:C,MATCH(Movies[[#This Row],[actor_id]],actors[[#All],[actor_id]],0),MATCH("name",actors[#Headers],0))</f>
        <v>Sam Worthington</v>
      </c>
      <c r="N19" s="17">
        <f>INDEX(actors!A:C,MATCH(Movies[[#This Row],[actor_id]],actors[[#All],[actor_id]],0),MATCH("birth_year",actors[#Headers],0))</f>
        <v>1976</v>
      </c>
      <c r="O19" s="18" t="str">
        <f>INDEX(languages!A:B,MATCH(Movies[[#This Row],[language_id]],languages!A:A,0),MATCH("language_name",languages[#Headers],0))</f>
        <v>English</v>
      </c>
    </row>
    <row r="20" spans="1:15" x14ac:dyDescent="0.35">
      <c r="A20" s="10">
        <v>120</v>
      </c>
      <c r="B20" s="4" t="s">
        <v>137</v>
      </c>
      <c r="C20" s="4" t="s">
        <v>7</v>
      </c>
      <c r="D20" s="4">
        <v>1972</v>
      </c>
      <c r="E20" s="4">
        <v>9.1999999999999993</v>
      </c>
      <c r="F20" s="6" t="s">
        <v>16</v>
      </c>
      <c r="G20" s="4">
        <v>5</v>
      </c>
      <c r="H20" s="4">
        <f>INDEX(financials!A:E,MATCH(Movies[[#This Row],[movie_id]],Financials[[#All],[movie_id]],0),MATCH("budget",Financials[#Headers],0))</f>
        <v>7.2</v>
      </c>
      <c r="I20" s="4">
        <f>INDEX(financials!A:E,MATCH(Movies[[#This Row],[movie_id]],Financials[[#All],[movie_id]],0),MATCH("revenue",Financials[#Headers],0))</f>
        <v>291</v>
      </c>
      <c r="J20" s="4" t="str">
        <f>INDEX(financials!A:E,MATCH(Movies[[#This Row],[movie_id]],Financials[[#All],[movie_id]],0),MATCH("unit",Financials[#Headers],0))</f>
        <v>Millions</v>
      </c>
      <c r="K20" s="4" t="str">
        <f>INDEX(financials!A:E,MATCH(Movies[[#This Row],[movie_id]],Financials[[#All],[movie_id]],0),MATCH("currency",Financials[#Headers],0))</f>
        <v>USD</v>
      </c>
      <c r="L20" s="14">
        <f>INDEX(movie_actor!A:B,MATCH(Movies[[#This Row],[movie_id]],movie_actor!A:A,0),MATCH("actor_id",movieactor[#Headers],0))</f>
        <v>84</v>
      </c>
      <c r="M20" s="14" t="str">
        <f>INDEX(actors!A:C,MATCH(Movies[[#This Row],[actor_id]],actors[[#All],[actor_id]],0),MATCH("name",actors[#Headers],0))</f>
        <v>Marlon Brando</v>
      </c>
      <c r="N20" s="17">
        <f>INDEX(actors!A:C,MATCH(Movies[[#This Row],[actor_id]],actors[[#All],[actor_id]],0),MATCH("birth_year",actors[#Headers],0))</f>
        <v>1924</v>
      </c>
      <c r="O20" s="18" t="str">
        <f>INDEX(languages!A:B,MATCH(Movies[[#This Row],[language_id]],languages!A:A,0),MATCH("language_name",languages[#Headers],0))</f>
        <v>English</v>
      </c>
    </row>
    <row r="21" spans="1:15" x14ac:dyDescent="0.35">
      <c r="A21" s="10">
        <v>121</v>
      </c>
      <c r="B21" s="4" t="s">
        <v>138</v>
      </c>
      <c r="C21" s="4" t="s">
        <v>7</v>
      </c>
      <c r="D21" s="4">
        <v>2008</v>
      </c>
      <c r="E21" s="4">
        <v>9</v>
      </c>
      <c r="F21" s="6" t="s">
        <v>19</v>
      </c>
      <c r="G21" s="4">
        <v>5</v>
      </c>
      <c r="H21" s="4">
        <f>INDEX(financials!A:E,MATCH(Movies[[#This Row],[movie_id]],Financials[[#All],[movie_id]],0),MATCH("budget",Financials[#Headers],0))</f>
        <v>185</v>
      </c>
      <c r="I21" s="4">
        <f>INDEX(financials!A:E,MATCH(Movies[[#This Row],[movie_id]],Financials[[#All],[movie_id]],0),MATCH("revenue",Financials[#Headers],0))</f>
        <v>1006</v>
      </c>
      <c r="J21" s="4" t="str">
        <f>INDEX(financials!A:E,MATCH(Movies[[#This Row],[movie_id]],Financials[[#All],[movie_id]],0),MATCH("unit",Financials[#Headers],0))</f>
        <v>Millions</v>
      </c>
      <c r="K21" s="4" t="str">
        <f>INDEX(financials!A:E,MATCH(Movies[[#This Row],[movie_id]],Financials[[#All],[movie_id]],0),MATCH("currency",Financials[#Headers],0))</f>
        <v>USD</v>
      </c>
      <c r="L21" s="14">
        <f>INDEX(movie_actor!A:B,MATCH(Movies[[#This Row],[movie_id]],movie_actor!A:A,0),MATCH("actor_id",movieactor[#Headers],0))</f>
        <v>86</v>
      </c>
      <c r="M21" s="14" t="str">
        <f>INDEX(actors!A:C,MATCH(Movies[[#This Row],[actor_id]],actors[[#All],[actor_id]],0),MATCH("name",actors[#Headers],0))</f>
        <v>Christian Bale</v>
      </c>
      <c r="N21" s="17">
        <f>INDEX(actors!A:C,MATCH(Movies[[#This Row],[actor_id]],actors[[#All],[actor_id]],0),MATCH("birth_year",actors[#Headers],0))</f>
        <v>1974</v>
      </c>
      <c r="O21" s="18" t="str">
        <f>INDEX(languages!A:B,MATCH(Movies[[#This Row],[language_id]],languages!A:A,0),MATCH("language_name",languages[#Headers],0))</f>
        <v>English</v>
      </c>
    </row>
    <row r="22" spans="1:15" x14ac:dyDescent="0.35">
      <c r="A22" s="10">
        <v>122</v>
      </c>
      <c r="B22" s="4" t="s">
        <v>139</v>
      </c>
      <c r="C22" s="4" t="s">
        <v>7</v>
      </c>
      <c r="D22" s="4">
        <v>1993</v>
      </c>
      <c r="E22" s="4">
        <v>9</v>
      </c>
      <c r="F22" s="6" t="s">
        <v>20</v>
      </c>
      <c r="G22" s="4">
        <v>5</v>
      </c>
      <c r="H22" s="4">
        <f>INDEX(financials!A:E,MATCH(Movies[[#This Row],[movie_id]],Financials[[#All],[movie_id]],0),MATCH("budget",Financials[#Headers],0))</f>
        <v>22</v>
      </c>
      <c r="I22" s="4">
        <f>INDEX(financials!A:E,MATCH(Movies[[#This Row],[movie_id]],Financials[[#All],[movie_id]],0),MATCH("revenue",Financials[#Headers],0))</f>
        <v>322.2</v>
      </c>
      <c r="J22" s="4" t="str">
        <f>INDEX(financials!A:E,MATCH(Movies[[#This Row],[movie_id]],Financials[[#All],[movie_id]],0),MATCH("unit",Financials[#Headers],0))</f>
        <v>Millions</v>
      </c>
      <c r="K22" s="4" t="str">
        <f>INDEX(financials!A:E,MATCH(Movies[[#This Row],[movie_id]],Financials[[#All],[movie_id]],0),MATCH("currency",Financials[#Headers],0))</f>
        <v>USD</v>
      </c>
      <c r="L22" s="14">
        <f>INDEX(movie_actor!A:B,MATCH(Movies[[#This Row],[movie_id]],movie_actor!A:A,0),MATCH("actor_id",movieactor[#Headers],0))</f>
        <v>88</v>
      </c>
      <c r="M22" s="14" t="str">
        <f>INDEX(actors!A:C,MATCH(Movies[[#This Row],[actor_id]],actors[[#All],[actor_id]],0),MATCH("name",actors[#Headers],0))</f>
        <v>Liam Neeson</v>
      </c>
      <c r="N22" s="17">
        <f>INDEX(actors!A:C,MATCH(Movies[[#This Row],[actor_id]],actors[[#All],[actor_id]],0),MATCH("birth_year",actors[#Headers],0))</f>
        <v>1952</v>
      </c>
      <c r="O22" s="18" t="str">
        <f>INDEX(languages!A:B,MATCH(Movies[[#This Row],[language_id]],languages!A:A,0),MATCH("language_name",languages[#Headers],0))</f>
        <v>English</v>
      </c>
    </row>
    <row r="23" spans="1:15" x14ac:dyDescent="0.35">
      <c r="A23" s="10">
        <v>123</v>
      </c>
      <c r="B23" s="4" t="s">
        <v>140</v>
      </c>
      <c r="C23" s="4" t="s">
        <v>7</v>
      </c>
      <c r="D23" s="4">
        <v>1993</v>
      </c>
      <c r="E23" s="4">
        <v>8.1999999999999993</v>
      </c>
      <c r="F23" s="6" t="s">
        <v>20</v>
      </c>
      <c r="G23" s="4">
        <v>5</v>
      </c>
      <c r="H23" s="4">
        <f>INDEX(financials!A:E,MATCH(Movies[[#This Row],[movie_id]],Financials[[#All],[movie_id]],0),MATCH("budget",Financials[#Headers],0))</f>
        <v>63</v>
      </c>
      <c r="I23" s="4">
        <f>INDEX(financials!A:E,MATCH(Movies[[#This Row],[movie_id]],Financials[[#All],[movie_id]],0),MATCH("revenue",Financials[#Headers],0))</f>
        <v>1046</v>
      </c>
      <c r="J23" s="4" t="str">
        <f>INDEX(financials!A:E,MATCH(Movies[[#This Row],[movie_id]],Financials[[#All],[movie_id]],0),MATCH("unit",Financials[#Headers],0))</f>
        <v>Millions</v>
      </c>
      <c r="K23" s="4" t="str">
        <f>INDEX(financials!A:E,MATCH(Movies[[#This Row],[movie_id]],Financials[[#All],[movie_id]],0),MATCH("currency",Financials[#Headers],0))</f>
        <v>USD</v>
      </c>
      <c r="L23" s="14">
        <f>INDEX(movie_actor!A:B,MATCH(Movies[[#This Row],[movie_id]],movie_actor!A:A,0),MATCH("actor_id",movieactor[#Headers],0))</f>
        <v>90</v>
      </c>
      <c r="M23" s="14" t="str">
        <f>INDEX(actors!A:C,MATCH(Movies[[#This Row],[actor_id]],actors[[#All],[actor_id]],0),MATCH("name",actors[#Headers],0))</f>
        <v>Sam Neill</v>
      </c>
      <c r="N23" s="17">
        <f>INDEX(actors!A:C,MATCH(Movies[[#This Row],[actor_id]],actors[[#All],[actor_id]],0),MATCH("birth_year",actors[#Headers],0))</f>
        <v>1947</v>
      </c>
      <c r="O23" s="18" t="str">
        <f>INDEX(languages!A:B,MATCH(Movies[[#This Row],[language_id]],languages!A:A,0),MATCH("language_name",languages[#Headers],0))</f>
        <v>English</v>
      </c>
    </row>
    <row r="24" spans="1:15" x14ac:dyDescent="0.35">
      <c r="A24" s="10">
        <v>124</v>
      </c>
      <c r="B24" s="4" t="s">
        <v>141</v>
      </c>
      <c r="C24" s="4" t="s">
        <v>7</v>
      </c>
      <c r="D24" s="4">
        <v>2019</v>
      </c>
      <c r="E24" s="4">
        <v>8.5</v>
      </c>
      <c r="F24" s="6" t="s">
        <v>116</v>
      </c>
      <c r="G24" s="4">
        <v>5</v>
      </c>
      <c r="H24" s="4">
        <f>INDEX(financials!A:E,MATCH(Movies[[#This Row],[movie_id]],Financials[[#All],[movie_id]],0),MATCH("budget",Financials[#Headers],0))</f>
        <v>15.5</v>
      </c>
      <c r="I24" s="4">
        <f>INDEX(financials!A:E,MATCH(Movies[[#This Row],[movie_id]],Financials[[#All],[movie_id]],0),MATCH("revenue",Financials[#Headers],0))</f>
        <v>263.10000000000002</v>
      </c>
      <c r="J24" s="4" t="str">
        <f>INDEX(financials!A:E,MATCH(Movies[[#This Row],[movie_id]],Financials[[#All],[movie_id]],0),MATCH("unit",Financials[#Headers],0))</f>
        <v>Millions</v>
      </c>
      <c r="K24" s="4" t="str">
        <f>INDEX(financials!A:E,MATCH(Movies[[#This Row],[movie_id]],Financials[[#All],[movie_id]],0),MATCH("currency",Financials[#Headers],0))</f>
        <v>USD</v>
      </c>
      <c r="L24" s="14">
        <f>INDEX(movie_actor!A:B,MATCH(Movies[[#This Row],[movie_id]],movie_actor!A:A,0),MATCH("actor_id",movieactor[#Headers],0))</f>
        <v>92</v>
      </c>
      <c r="M24" s="14" t="str">
        <f>INDEX(actors!A:C,MATCH(Movies[[#This Row],[actor_id]],actors[[#All],[actor_id]],0),MATCH("name",actors[#Headers],0))</f>
        <v>Song Kang-ho</v>
      </c>
      <c r="N24" s="17">
        <f>INDEX(actors!A:C,MATCH(Movies[[#This Row],[actor_id]],actors[[#All],[actor_id]],0),MATCH("birth_year",actors[#Headers],0))</f>
        <v>1967</v>
      </c>
      <c r="O24" s="18" t="str">
        <f>INDEX(languages!A:B,MATCH(Movies[[#This Row],[language_id]],languages!A:A,0),MATCH("language_name",languages[#Headers],0))</f>
        <v>English</v>
      </c>
    </row>
    <row r="25" spans="1:15" x14ac:dyDescent="0.35">
      <c r="A25" s="10">
        <v>125</v>
      </c>
      <c r="B25" s="4" t="s">
        <v>142</v>
      </c>
      <c r="C25" s="4" t="s">
        <v>7</v>
      </c>
      <c r="D25" s="4">
        <v>2019</v>
      </c>
      <c r="E25" s="4">
        <v>8.4</v>
      </c>
      <c r="F25" s="6" t="s">
        <v>8</v>
      </c>
      <c r="G25" s="4">
        <v>5</v>
      </c>
      <c r="H25" s="4">
        <f>INDEX(financials!A:E,MATCH(Movies[[#This Row],[movie_id]],Financials[[#All],[movie_id]],0),MATCH("budget",Financials[#Headers],0))</f>
        <v>400</v>
      </c>
      <c r="I25" s="4">
        <f>INDEX(financials!A:E,MATCH(Movies[[#This Row],[movie_id]],Financials[[#All],[movie_id]],0),MATCH("revenue",Financials[#Headers],0))</f>
        <v>2798</v>
      </c>
      <c r="J25" s="4" t="str">
        <f>INDEX(financials!A:E,MATCH(Movies[[#This Row],[movie_id]],Financials[[#All],[movie_id]],0),MATCH("unit",Financials[#Headers],0))</f>
        <v>Millions</v>
      </c>
      <c r="K25" s="4" t="str">
        <f>INDEX(financials!A:E,MATCH(Movies[[#This Row],[movie_id]],Financials[[#All],[movie_id]],0),MATCH("currency",Financials[#Headers],0))</f>
        <v>USD</v>
      </c>
      <c r="L25" s="14">
        <f>INDEX(movie_actor!A:B,MATCH(Movies[[#This Row],[movie_id]],movie_actor!A:A,0),MATCH("actor_id",movieactor[#Headers],0))</f>
        <v>94</v>
      </c>
      <c r="M25" s="14" t="str">
        <f>INDEX(actors!A:C,MATCH(Movies[[#This Row],[actor_id]],actors[[#All],[actor_id]],0),MATCH("name",actors[#Headers],0))</f>
        <v>Robert Downey Jr.</v>
      </c>
      <c r="N25" s="17">
        <f>INDEX(actors!A:C,MATCH(Movies[[#This Row],[actor_id]],actors[[#All],[actor_id]],0),MATCH("birth_year",actors[#Headers],0))</f>
        <v>1965</v>
      </c>
      <c r="O25" s="18" t="str">
        <f>INDEX(languages!A:B,MATCH(Movies[[#This Row],[language_id]],languages!A:A,0),MATCH("language_name",languages[#Headers],0))</f>
        <v>English</v>
      </c>
    </row>
    <row r="26" spans="1:15" x14ac:dyDescent="0.35">
      <c r="A26" s="10">
        <v>126</v>
      </c>
      <c r="B26" s="4" t="s">
        <v>143</v>
      </c>
      <c r="C26" s="4" t="s">
        <v>7</v>
      </c>
      <c r="D26" s="4">
        <v>2018</v>
      </c>
      <c r="E26" s="4">
        <v>8.4</v>
      </c>
      <c r="F26" s="6" t="s">
        <v>8</v>
      </c>
      <c r="G26" s="4">
        <v>5</v>
      </c>
      <c r="H26" s="4">
        <f>INDEX(financials!A:E,MATCH(Movies[[#This Row],[movie_id]],Financials[[#All],[movie_id]],0),MATCH("budget",Financials[#Headers],0))</f>
        <v>400</v>
      </c>
      <c r="I26" s="4">
        <f>INDEX(financials!A:E,MATCH(Movies[[#This Row],[movie_id]],Financials[[#All],[movie_id]],0),MATCH("revenue",Financials[#Headers],0))</f>
        <v>2048</v>
      </c>
      <c r="J26" s="4" t="str">
        <f>INDEX(financials!A:E,MATCH(Movies[[#This Row],[movie_id]],Financials[[#All],[movie_id]],0),MATCH("unit",Financials[#Headers],0))</f>
        <v>Millions</v>
      </c>
      <c r="K26" s="4" t="str">
        <f>INDEX(financials!A:E,MATCH(Movies[[#This Row],[movie_id]],Financials[[#All],[movie_id]],0),MATCH("currency",Financials[#Headers],0))</f>
        <v>USD</v>
      </c>
      <c r="L26" s="14">
        <f>INDEX(movie_actor!A:B,MATCH(Movies[[#This Row],[movie_id]],movie_actor!A:A,0),MATCH("actor_id",movieactor[#Headers],0))</f>
        <v>94</v>
      </c>
      <c r="M26" s="14" t="str">
        <f>INDEX(actors!A:C,MATCH(Movies[[#This Row],[actor_id]],actors[[#All],[actor_id]],0),MATCH("name",actors[#Headers],0))</f>
        <v>Robert Downey Jr.</v>
      </c>
      <c r="N26" s="17">
        <f>INDEX(actors!A:C,MATCH(Movies[[#This Row],[actor_id]],actors[[#All],[actor_id]],0),MATCH("birth_year",actors[#Headers],0))</f>
        <v>1965</v>
      </c>
      <c r="O26" s="18" t="str">
        <f>INDEX(languages!A:B,MATCH(Movies[[#This Row],[language_id]],languages!A:A,0),MATCH("language_name",languages[#Headers],0))</f>
        <v>English</v>
      </c>
    </row>
    <row r="27" spans="1:15" x14ac:dyDescent="0.35">
      <c r="A27" s="10">
        <v>127</v>
      </c>
      <c r="B27" s="4" t="s">
        <v>144</v>
      </c>
      <c r="C27" s="4" t="s">
        <v>6</v>
      </c>
      <c r="D27" s="4">
        <v>1955</v>
      </c>
      <c r="E27" s="4">
        <v>8.3000000000000007</v>
      </c>
      <c r="F27" s="6" t="s">
        <v>117</v>
      </c>
      <c r="G27" s="4">
        <v>7</v>
      </c>
      <c r="H27" s="4">
        <f>INDEX(financials!A:E,MATCH(Movies[[#This Row],[movie_id]],Financials[[#All],[movie_id]],0),MATCH("budget",Financials[#Headers],0))</f>
        <v>70</v>
      </c>
      <c r="I27" s="4">
        <f>INDEX(financials!A:E,MATCH(Movies[[#This Row],[movie_id]],Financials[[#All],[movie_id]],0),MATCH("revenue",Financials[#Headers],0))</f>
        <v>100</v>
      </c>
      <c r="J27" s="4" t="str">
        <f>INDEX(financials!A:E,MATCH(Movies[[#This Row],[movie_id]],Financials[[#All],[movie_id]],0),MATCH("unit",Financials[#Headers],0))</f>
        <v>Millions</v>
      </c>
      <c r="K27" s="4" t="str">
        <f>INDEX(financials!A:E,MATCH(Movies[[#This Row],[movie_id]],Financials[[#All],[movie_id]],0),MATCH("currency",Financials[#Headers],0))</f>
        <v>INR</v>
      </c>
      <c r="L27" s="14">
        <f>INDEX(movie_actor!A:B,MATCH(Movies[[#This Row],[movie_id]],movie_actor!A:A,0),MATCH("actor_id",movieactor[#Headers],0))</f>
        <v>150</v>
      </c>
      <c r="M27" s="14" t="str">
        <f>INDEX(actors!A:C,MATCH(Movies[[#This Row],[actor_id]],actors[[#All],[actor_id]],0),MATCH("name",actors[#Headers],0))</f>
        <v>Kanu Banerjee</v>
      </c>
      <c r="N27" s="17">
        <f>INDEX(actors!A:C,MATCH(Movies[[#This Row],[actor_id]],actors[[#All],[actor_id]],0),MATCH("birth_year",actors[#Headers],0))</f>
        <v>1905</v>
      </c>
      <c r="O27" s="18" t="str">
        <f>INDEX(languages!A:B,MATCH(Movies[[#This Row],[language_id]],languages!A:A,0),MATCH("language_name",languages[#Headers],0))</f>
        <v>Bengali</v>
      </c>
    </row>
    <row r="28" spans="1:15" x14ac:dyDescent="0.35">
      <c r="A28" s="10">
        <v>128</v>
      </c>
      <c r="B28" s="4" t="s">
        <v>145</v>
      </c>
      <c r="C28" s="4" t="s">
        <v>6</v>
      </c>
      <c r="D28" s="4">
        <v>2007</v>
      </c>
      <c r="E28" s="4">
        <v>8.3000000000000007</v>
      </c>
      <c r="F28" s="6" t="s">
        <v>116</v>
      </c>
      <c r="G28" s="4">
        <v>1</v>
      </c>
      <c r="H28" s="4">
        <f>INDEX(financials!A:E,MATCH(Movies[[#This Row],[movie_id]],Financials[[#All],[movie_id]],0),MATCH("budget",Financials[#Headers],0))</f>
        <v>120</v>
      </c>
      <c r="I28" s="4">
        <f>INDEX(financials!A:E,MATCH(Movies[[#This Row],[movie_id]],Financials[[#All],[movie_id]],0),MATCH("revenue",Financials[#Headers],0))</f>
        <v>1350</v>
      </c>
      <c r="J28" s="4" t="str">
        <f>INDEX(financials!A:E,MATCH(Movies[[#This Row],[movie_id]],Financials[[#All],[movie_id]],0),MATCH("unit",Financials[#Headers],0))</f>
        <v>Millions</v>
      </c>
      <c r="K28" s="4" t="str">
        <f>INDEX(financials!A:E,MATCH(Movies[[#This Row],[movie_id]],Financials[[#All],[movie_id]],0),MATCH("currency",Financials[#Headers],0))</f>
        <v>INR</v>
      </c>
      <c r="L28" s="14">
        <f>INDEX(movie_actor!A:B,MATCH(Movies[[#This Row],[movie_id]],movie_actor!A:A,0),MATCH("actor_id",movieactor[#Headers],0))</f>
        <v>61</v>
      </c>
      <c r="M28" s="14" t="str">
        <f>INDEX(actors!A:C,MATCH(Movies[[#This Row],[actor_id]],actors[[#All],[actor_id]],0),MATCH("name",actors[#Headers],0))</f>
        <v>Aamir Khan</v>
      </c>
      <c r="N28" s="17">
        <f>INDEX(actors!A:C,MATCH(Movies[[#This Row],[actor_id]],actors[[#All],[actor_id]],0),MATCH("birth_year",actors[#Headers],0))</f>
        <v>1965</v>
      </c>
      <c r="O28" s="18" t="str">
        <f>INDEX(languages!A:B,MATCH(Movies[[#This Row],[language_id]],languages!A:A,0),MATCH("language_name",languages[#Headers],0))</f>
        <v>Hindi</v>
      </c>
    </row>
    <row r="29" spans="1:15" x14ac:dyDescent="0.35">
      <c r="A29" s="10">
        <v>129</v>
      </c>
      <c r="B29" s="4" t="s">
        <v>146</v>
      </c>
      <c r="C29" s="4" t="s">
        <v>6</v>
      </c>
      <c r="D29" s="4">
        <v>2003</v>
      </c>
      <c r="E29" s="4">
        <v>8.1</v>
      </c>
      <c r="F29" s="6" t="s">
        <v>21</v>
      </c>
      <c r="G29" s="4">
        <v>1</v>
      </c>
      <c r="H29" s="4">
        <f>INDEX(financials!A:E,MATCH(Movies[[#This Row],[movie_id]],Financials[[#All],[movie_id]],0),MATCH("budget",Financials[#Headers],0))</f>
        <v>100</v>
      </c>
      <c r="I29" s="4">
        <f>INDEX(financials!A:E,MATCH(Movies[[#This Row],[movie_id]],Financials[[#All],[movie_id]],0),MATCH("revenue",Financials[#Headers],0))</f>
        <v>410</v>
      </c>
      <c r="J29" s="4" t="str">
        <f>INDEX(financials!A:E,MATCH(Movies[[#This Row],[movie_id]],Financials[[#All],[movie_id]],0),MATCH("unit",Financials[#Headers],0))</f>
        <v>Millions</v>
      </c>
      <c r="K29" s="4" t="str">
        <f>INDEX(financials!A:E,MATCH(Movies[[#This Row],[movie_id]],Financials[[#All],[movie_id]],0),MATCH("currency",Financials[#Headers],0))</f>
        <v>INR</v>
      </c>
      <c r="L29" s="14">
        <f>INDEX(movie_actor!A:B,MATCH(Movies[[#This Row],[movie_id]],movie_actor!A:A,0),MATCH("actor_id",movieactor[#Headers],0))</f>
        <v>51</v>
      </c>
      <c r="M29" s="14" t="str">
        <f>INDEX(actors!A:C,MATCH(Movies[[#This Row],[actor_id]],actors[[#All],[actor_id]],0),MATCH("name",actors[#Headers],0))</f>
        <v>Sanjay Dutt</v>
      </c>
      <c r="N29" s="17">
        <f>INDEX(actors!A:C,MATCH(Movies[[#This Row],[actor_id]],actors[[#All],[actor_id]],0),MATCH("birth_year",actors[#Headers],0))</f>
        <v>1959</v>
      </c>
      <c r="O29" s="18" t="str">
        <f>INDEX(languages!A:B,MATCH(Movies[[#This Row],[language_id]],languages!A:A,0),MATCH("language_name",languages[#Headers],0))</f>
        <v>Hindi</v>
      </c>
    </row>
    <row r="30" spans="1:15" x14ac:dyDescent="0.35">
      <c r="A30" s="10">
        <v>130</v>
      </c>
      <c r="B30" s="4" t="s">
        <v>147</v>
      </c>
      <c r="C30" s="4" t="s">
        <v>6</v>
      </c>
      <c r="D30" s="4">
        <v>2014</v>
      </c>
      <c r="E30" s="4">
        <v>8.1</v>
      </c>
      <c r="F30" s="6" t="s">
        <v>11</v>
      </c>
      <c r="G30" s="4">
        <v>1</v>
      </c>
      <c r="H30" s="4">
        <f>INDEX(financials!A:E,MATCH(Movies[[#This Row],[movie_id]],Financials[[#All],[movie_id]],0),MATCH("budget",Financials[#Headers],0))</f>
        <v>850</v>
      </c>
      <c r="I30" s="4">
        <f>INDEX(financials!A:E,MATCH(Movies[[#This Row],[movie_id]],Financials[[#All],[movie_id]],0),MATCH("revenue",Financials[#Headers],0))</f>
        <v>8540</v>
      </c>
      <c r="J30" s="4" t="str">
        <f>INDEX(financials!A:E,MATCH(Movies[[#This Row],[movie_id]],Financials[[#All],[movie_id]],0),MATCH("unit",Financials[#Headers],0))</f>
        <v>Millions</v>
      </c>
      <c r="K30" s="4" t="str">
        <f>INDEX(financials!A:E,MATCH(Movies[[#This Row],[movie_id]],Financials[[#All],[movie_id]],0),MATCH("currency",Financials[#Headers],0))</f>
        <v>INR</v>
      </c>
      <c r="L30" s="14">
        <f>INDEX(movie_actor!A:B,MATCH(Movies[[#This Row],[movie_id]],movie_actor!A:A,0),MATCH("actor_id",movieactor[#Headers],0))</f>
        <v>61</v>
      </c>
      <c r="M30" s="14" t="str">
        <f>INDEX(actors!A:C,MATCH(Movies[[#This Row],[actor_id]],actors[[#All],[actor_id]],0),MATCH("name",actors[#Headers],0))</f>
        <v>Aamir Khan</v>
      </c>
      <c r="N30" s="17">
        <f>INDEX(actors!A:C,MATCH(Movies[[#This Row],[actor_id]],actors[[#All],[actor_id]],0),MATCH("birth_year",actors[#Headers],0))</f>
        <v>1965</v>
      </c>
      <c r="O30" s="18" t="str">
        <f>INDEX(languages!A:B,MATCH(Movies[[#This Row],[language_id]],languages!A:A,0),MATCH("language_name",languages[#Headers],0))</f>
        <v>Hindi</v>
      </c>
    </row>
    <row r="31" spans="1:15" x14ac:dyDescent="0.35">
      <c r="A31" s="10">
        <v>131</v>
      </c>
      <c r="B31" s="4" t="s">
        <v>148</v>
      </c>
      <c r="C31" s="4" t="s">
        <v>6</v>
      </c>
      <c r="D31" s="4">
        <v>2018</v>
      </c>
      <c r="E31" s="4" t="s">
        <v>113</v>
      </c>
      <c r="F31" s="6" t="s">
        <v>11</v>
      </c>
      <c r="G31" s="4">
        <v>1</v>
      </c>
      <c r="H31" s="4">
        <f>INDEX(financials!A:E,MATCH(Movies[[#This Row],[movie_id]],Financials[[#All],[movie_id]],0),MATCH("budget",Financials[#Headers],0))</f>
        <v>1</v>
      </c>
      <c r="I31" s="4">
        <f>INDEX(financials!A:E,MATCH(Movies[[#This Row],[movie_id]],Financials[[#All],[movie_id]],0),MATCH("revenue",Financials[#Headers],0))</f>
        <v>5.9</v>
      </c>
      <c r="J31" s="4" t="str">
        <f>INDEX(financials!A:E,MATCH(Movies[[#This Row],[movie_id]],Financials[[#All],[movie_id]],0),MATCH("unit",Financials[#Headers],0))</f>
        <v>Billions</v>
      </c>
      <c r="K31" s="4" t="str">
        <f>INDEX(financials!A:E,MATCH(Movies[[#This Row],[movie_id]],Financials[[#All],[movie_id]],0),MATCH("currency",Financials[#Headers],0))</f>
        <v>INR</v>
      </c>
      <c r="L31" s="14">
        <f>INDEX(movie_actor!A:B,MATCH(Movies[[#This Row],[movie_id]],movie_actor!A:A,0),MATCH("actor_id",movieactor[#Headers],0))</f>
        <v>155</v>
      </c>
      <c r="M31" s="14" t="str">
        <f>INDEX(actors!A:C,MATCH(Movies[[#This Row],[actor_id]],actors[[#All],[actor_id]],0),MATCH("name",actors[#Headers],0))</f>
        <v>Ranbir Kapoor</v>
      </c>
      <c r="N31" s="17">
        <f>INDEX(actors!A:C,MATCH(Movies[[#This Row],[actor_id]],actors[[#All],[actor_id]],0),MATCH("birth_year",actors[#Headers],0))</f>
        <v>1982</v>
      </c>
      <c r="O31" s="18" t="str">
        <f>INDEX(languages!A:B,MATCH(Movies[[#This Row],[language_id]],languages!A:A,0),MATCH("language_name",languages[#Headers],0))</f>
        <v>Hindi</v>
      </c>
    </row>
    <row r="32" spans="1:15" x14ac:dyDescent="0.35">
      <c r="A32" s="10">
        <v>132</v>
      </c>
      <c r="B32" s="4" t="s">
        <v>149</v>
      </c>
      <c r="C32" s="4" t="s">
        <v>6</v>
      </c>
      <c r="D32" s="4">
        <v>2021</v>
      </c>
      <c r="E32" s="4">
        <v>7.6</v>
      </c>
      <c r="F32" s="6" t="s">
        <v>22</v>
      </c>
      <c r="G32" s="4">
        <v>2</v>
      </c>
      <c r="H32" s="4">
        <f>INDEX(financials!A:E,MATCH(Movies[[#This Row],[movie_id]],Financials[[#All],[movie_id]],0),MATCH("budget",Financials[#Headers],0))</f>
        <v>2</v>
      </c>
      <c r="I32" s="4">
        <f>INDEX(financials!A:E,MATCH(Movies[[#This Row],[movie_id]],Financials[[#All],[movie_id]],0),MATCH("revenue",Financials[#Headers],0))</f>
        <v>3.6</v>
      </c>
      <c r="J32" s="4" t="str">
        <f>INDEX(financials!A:E,MATCH(Movies[[#This Row],[movie_id]],Financials[[#All],[movie_id]],0),MATCH("unit",Financials[#Headers],0))</f>
        <v>Billions</v>
      </c>
      <c r="K32" s="4" t="str">
        <f>INDEX(financials!A:E,MATCH(Movies[[#This Row],[movie_id]],Financials[[#All],[movie_id]],0),MATCH("currency",Financials[#Headers],0))</f>
        <v>INR</v>
      </c>
      <c r="L32" s="14">
        <f>INDEX(movie_actor!A:B,MATCH(Movies[[#This Row],[movie_id]],movie_actor!A:A,0),MATCH("actor_id",movieactor[#Headers],0))</f>
        <v>156</v>
      </c>
      <c r="M32" s="14" t="str">
        <f>INDEX(actors!A:C,MATCH(Movies[[#This Row],[actor_id]],actors[[#All],[actor_id]],0),MATCH("name",actors[#Headers],0))</f>
        <v>Allu Arjun</v>
      </c>
      <c r="N32" s="17">
        <f>INDEX(actors!A:C,MATCH(Movies[[#This Row],[actor_id]],actors[[#All],[actor_id]],0),MATCH("birth_year",actors[#Headers],0))</f>
        <v>1982</v>
      </c>
      <c r="O32" s="18" t="str">
        <f>INDEX(languages!A:B,MATCH(Movies[[#This Row],[language_id]],languages!A:A,0),MATCH("language_name",languages[#Headers],0))</f>
        <v>Telugu</v>
      </c>
    </row>
    <row r="33" spans="1:15" x14ac:dyDescent="0.35">
      <c r="A33" s="10">
        <v>133</v>
      </c>
      <c r="B33" s="4" t="s">
        <v>150</v>
      </c>
      <c r="C33" s="4" t="s">
        <v>6</v>
      </c>
      <c r="D33" s="4">
        <v>2022</v>
      </c>
      <c r="E33" s="4">
        <v>8</v>
      </c>
      <c r="F33" s="6" t="s">
        <v>23</v>
      </c>
      <c r="G33" s="4">
        <v>2</v>
      </c>
      <c r="H33" s="4">
        <f>INDEX(financials!A:E,MATCH(Movies[[#This Row],[movie_id]],Financials[[#All],[movie_id]],0),MATCH("budget",Financials[#Headers],0))</f>
        <v>5.5</v>
      </c>
      <c r="I33" s="4">
        <f>INDEX(financials!A:E,MATCH(Movies[[#This Row],[movie_id]],Financials[[#All],[movie_id]],0),MATCH("revenue",Financials[#Headers],0))</f>
        <v>12</v>
      </c>
      <c r="J33" s="4" t="str">
        <f>INDEX(financials!A:E,MATCH(Movies[[#This Row],[movie_id]],Financials[[#All],[movie_id]],0),MATCH("unit",Financials[#Headers],0))</f>
        <v>Billions</v>
      </c>
      <c r="K33" s="4" t="str">
        <f>INDEX(financials!A:E,MATCH(Movies[[#This Row],[movie_id]],Financials[[#All],[movie_id]],0),MATCH("currency",Financials[#Headers],0))</f>
        <v>INR</v>
      </c>
      <c r="L33" s="14">
        <f>INDEX(movie_actor!A:B,MATCH(Movies[[#This Row],[movie_id]],movie_actor!A:A,0),MATCH("actor_id",movieactor[#Headers],0))</f>
        <v>158</v>
      </c>
      <c r="M33" s="14" t="str">
        <f>INDEX(actors!A:C,MATCH(Movies[[#This Row],[actor_id]],actors[[#All],[actor_id]],0),MATCH("name",actors[#Headers],0))</f>
        <v>N. T. Rama Rao Jr.</v>
      </c>
      <c r="N33" s="17">
        <f>INDEX(actors!A:C,MATCH(Movies[[#This Row],[actor_id]],actors[[#All],[actor_id]],0),MATCH("birth_year",actors[#Headers],0))</f>
        <v>1983</v>
      </c>
      <c r="O33" s="18" t="str">
        <f>INDEX(languages!A:B,MATCH(Movies[[#This Row],[language_id]],languages!A:A,0),MATCH("language_name",languages[#Headers],0))</f>
        <v>Telugu</v>
      </c>
    </row>
    <row r="34" spans="1:15" x14ac:dyDescent="0.35">
      <c r="A34" s="10">
        <v>134</v>
      </c>
      <c r="B34" s="4" t="s">
        <v>151</v>
      </c>
      <c r="C34" s="4" t="s">
        <v>6</v>
      </c>
      <c r="D34" s="4">
        <v>2015</v>
      </c>
      <c r="E34" s="4">
        <v>8</v>
      </c>
      <c r="F34" s="6" t="s">
        <v>24</v>
      </c>
      <c r="G34" s="4">
        <v>2</v>
      </c>
      <c r="H34" s="4">
        <f>INDEX(financials!A:E,MATCH(Movies[[#This Row],[movie_id]],Financials[[#All],[movie_id]],0),MATCH("budget",Financials[#Headers],0))</f>
        <v>1.8</v>
      </c>
      <c r="I34" s="4">
        <f>INDEX(financials!A:E,MATCH(Movies[[#This Row],[movie_id]],Financials[[#All],[movie_id]],0),MATCH("revenue",Financials[#Headers],0))</f>
        <v>6.5</v>
      </c>
      <c r="J34" s="4" t="str">
        <f>INDEX(financials!A:E,MATCH(Movies[[#This Row],[movie_id]],Financials[[#All],[movie_id]],0),MATCH("unit",Financials[#Headers],0))</f>
        <v>Billions</v>
      </c>
      <c r="K34" s="4" t="str">
        <f>INDEX(financials!A:E,MATCH(Movies[[#This Row],[movie_id]],Financials[[#All],[movie_id]],0),MATCH("currency",Financials[#Headers],0))</f>
        <v>INR</v>
      </c>
      <c r="L34" s="14">
        <f>INDEX(movie_actor!A:B,MATCH(Movies[[#This Row],[movie_id]],movie_actor!A:A,0),MATCH("actor_id",movieactor[#Headers],0))</f>
        <v>160</v>
      </c>
      <c r="M34" s="14" t="str">
        <f>INDEX(actors!A:C,MATCH(Movies[[#This Row],[actor_id]],actors[[#All],[actor_id]],0),MATCH("name",actors[#Headers],0))</f>
        <v>Prabhas</v>
      </c>
      <c r="N34" s="17">
        <f>INDEX(actors!A:C,MATCH(Movies[[#This Row],[actor_id]],actors[[#All],[actor_id]],0),MATCH("birth_year",actors[#Headers],0))</f>
        <v>1979</v>
      </c>
      <c r="O34" s="18" t="str">
        <f>INDEX(languages!A:B,MATCH(Movies[[#This Row],[language_id]],languages!A:A,0),MATCH("language_name",languages[#Headers],0))</f>
        <v>Telugu</v>
      </c>
    </row>
    <row r="35" spans="1:15" x14ac:dyDescent="0.35">
      <c r="A35" s="10">
        <v>135</v>
      </c>
      <c r="B35" s="4" t="s">
        <v>152</v>
      </c>
      <c r="C35" s="4" t="s">
        <v>6</v>
      </c>
      <c r="D35" s="4">
        <v>2022</v>
      </c>
      <c r="E35" s="4">
        <v>8.3000000000000007</v>
      </c>
      <c r="F35" s="6" t="s">
        <v>25</v>
      </c>
      <c r="G35" s="4">
        <v>1</v>
      </c>
      <c r="H35" s="4">
        <f>INDEX(financials!A:E,MATCH(Movies[[#This Row],[movie_id]],Financials[[#All],[movie_id]],0),MATCH("budget",Financials[#Headers],0))</f>
        <v>250</v>
      </c>
      <c r="I35" s="4">
        <f>INDEX(financials!A:E,MATCH(Movies[[#This Row],[movie_id]],Financials[[#All],[movie_id]],0),MATCH("revenue",Financials[#Headers],0))</f>
        <v>3409</v>
      </c>
      <c r="J35" s="4" t="str">
        <f>INDEX(financials!A:E,MATCH(Movies[[#This Row],[movie_id]],Financials[[#All],[movie_id]],0),MATCH("unit",Financials[#Headers],0))</f>
        <v>Millions</v>
      </c>
      <c r="K35" s="4" t="str">
        <f>INDEX(financials!A:E,MATCH(Movies[[#This Row],[movie_id]],Financials[[#All],[movie_id]],0),MATCH("currency",Financials[#Headers],0))</f>
        <v>INR</v>
      </c>
      <c r="L35" s="14">
        <f>INDEX(movie_actor!A:B,MATCH(Movies[[#This Row],[movie_id]],movie_actor!A:A,0),MATCH("actor_id",movieactor[#Headers],0))</f>
        <v>162</v>
      </c>
      <c r="M35" s="14" t="str">
        <f>INDEX(actors!A:C,MATCH(Movies[[#This Row],[actor_id]],actors[[#All],[actor_id]],0),MATCH("name",actors[#Headers],0))</f>
        <v>Mithun Chakraborty</v>
      </c>
      <c r="N35" s="17">
        <f>INDEX(actors!A:C,MATCH(Movies[[#This Row],[actor_id]],actors[[#All],[actor_id]],0),MATCH("birth_year",actors[#Headers],0))</f>
        <v>1950</v>
      </c>
      <c r="O35" s="18" t="str">
        <f>INDEX(languages!A:B,MATCH(Movies[[#This Row],[language_id]],languages!A:A,0),MATCH("language_name",languages[#Headers],0))</f>
        <v>Hindi</v>
      </c>
    </row>
    <row r="36" spans="1:15" x14ac:dyDescent="0.35">
      <c r="A36" s="10">
        <v>136</v>
      </c>
      <c r="B36" s="4" t="s">
        <v>153</v>
      </c>
      <c r="C36" s="4" t="s">
        <v>6</v>
      </c>
      <c r="D36" s="4">
        <v>2015</v>
      </c>
      <c r="E36" s="4">
        <v>8.1</v>
      </c>
      <c r="F36" s="6" t="s">
        <v>26</v>
      </c>
      <c r="G36" s="4">
        <v>1</v>
      </c>
      <c r="H36" s="4">
        <f>INDEX(financials!A:E,MATCH(Movies[[#This Row],[movie_id]],Financials[[#All],[movie_id]],0),MATCH("budget",Financials[#Headers],0))</f>
        <v>900</v>
      </c>
      <c r="I36" s="4">
        <f>INDEX(financials!A:E,MATCH(Movies[[#This Row],[movie_id]],Financials[[#All],[movie_id]],0),MATCH("revenue",Financials[#Headers],0))</f>
        <v>11690</v>
      </c>
      <c r="J36" s="4" t="str">
        <f>INDEX(financials!A:E,MATCH(Movies[[#This Row],[movie_id]],Financials[[#All],[movie_id]],0),MATCH("unit",Financials[#Headers],0))</f>
        <v>Millions</v>
      </c>
      <c r="K36" s="4" t="str">
        <f>INDEX(financials!A:E,MATCH(Movies[[#This Row],[movie_id]],Financials[[#All],[movie_id]],0),MATCH("currency",Financials[#Headers],0))</f>
        <v>INR</v>
      </c>
      <c r="L36" s="14">
        <f>INDEX(movie_actor!A:B,MATCH(Movies[[#This Row],[movie_id]],movie_actor!A:A,0),MATCH("actor_id",movieactor[#Headers],0))</f>
        <v>164</v>
      </c>
      <c r="M36" s="14" t="str">
        <f>INDEX(actors!A:C,MATCH(Movies[[#This Row],[actor_id]],actors[[#All],[actor_id]],0),MATCH("name",actors[#Headers],0))</f>
        <v>Salman Khan</v>
      </c>
      <c r="N36" s="17">
        <f>INDEX(actors!A:C,MATCH(Movies[[#This Row],[actor_id]],actors[[#All],[actor_id]],0),MATCH("birth_year",actors[#Headers],0))</f>
        <v>1965</v>
      </c>
      <c r="O36" s="18" t="str">
        <f>INDEX(languages!A:B,MATCH(Movies[[#This Row],[language_id]],languages!A:A,0),MATCH("language_name",languages[#Headers],0))</f>
        <v>Hindi</v>
      </c>
    </row>
    <row r="37" spans="1:15" x14ac:dyDescent="0.35">
      <c r="A37" s="10">
        <v>137</v>
      </c>
      <c r="B37" s="4" t="s">
        <v>154</v>
      </c>
      <c r="C37" s="4" t="s">
        <v>7</v>
      </c>
      <c r="D37" s="4">
        <v>2011</v>
      </c>
      <c r="E37" s="4">
        <v>6.9</v>
      </c>
      <c r="F37" s="6" t="s">
        <v>8</v>
      </c>
      <c r="G37" s="4">
        <v>5</v>
      </c>
      <c r="H37" s="4">
        <f>INDEX(financials!A:E,MATCH(Movies[[#This Row],[movie_id]],Financials[[#All],[movie_id]],0),MATCH("budget",Financials[#Headers],0))</f>
        <v>216.7</v>
      </c>
      <c r="I37" s="4">
        <f>INDEX(financials!A:E,MATCH(Movies[[#This Row],[movie_id]],Financials[[#All],[movie_id]],0),MATCH("revenue",Financials[#Headers],0))</f>
        <v>370.6</v>
      </c>
      <c r="J37" s="4" t="str">
        <f>INDEX(financials!A:E,MATCH(Movies[[#This Row],[movie_id]],Financials[[#All],[movie_id]],0),MATCH("unit",Financials[#Headers],0))</f>
        <v>Millions</v>
      </c>
      <c r="K37" s="4" t="str">
        <f>INDEX(financials!A:E,MATCH(Movies[[#This Row],[movie_id]],Financials[[#All],[movie_id]],0),MATCH("currency",Financials[#Headers],0))</f>
        <v>USD</v>
      </c>
      <c r="L37" s="14">
        <f>INDEX(movie_actor!A:B,MATCH(Movies[[#This Row],[movie_id]],movie_actor!A:A,0),MATCH("actor_id",movieactor[#Headers],0))</f>
        <v>95</v>
      </c>
      <c r="M37" s="14" t="str">
        <f>INDEX(actors!A:C,MATCH(Movies[[#This Row],[actor_id]],actors[[#All],[actor_id]],0),MATCH("name",actors[#Headers],0))</f>
        <v>Chris Evans</v>
      </c>
      <c r="N37" s="17">
        <f>INDEX(actors!A:C,MATCH(Movies[[#This Row],[actor_id]],actors[[#All],[actor_id]],0),MATCH("birth_year",actors[#Headers],0))</f>
        <v>1981</v>
      </c>
      <c r="O37" s="18" t="str">
        <f>INDEX(languages!A:B,MATCH(Movies[[#This Row],[language_id]],languages!A:A,0),MATCH("language_name",languages[#Headers],0))</f>
        <v>English</v>
      </c>
    </row>
    <row r="38" spans="1:15" x14ac:dyDescent="0.35">
      <c r="A38" s="10">
        <v>138</v>
      </c>
      <c r="B38" s="4" t="s">
        <v>155</v>
      </c>
      <c r="C38" s="4" t="s">
        <v>7</v>
      </c>
      <c r="D38" s="4">
        <v>2014</v>
      </c>
      <c r="E38" s="4">
        <v>7.8</v>
      </c>
      <c r="F38" s="6" t="s">
        <v>8</v>
      </c>
      <c r="G38" s="4">
        <v>5</v>
      </c>
      <c r="H38" s="4">
        <f>INDEX(financials!A:E,MATCH(Movies[[#This Row],[movie_id]],Financials[[#All],[movie_id]],0),MATCH("budget",Financials[#Headers],0))</f>
        <v>177</v>
      </c>
      <c r="I38" s="4">
        <f>INDEX(financials!A:E,MATCH(Movies[[#This Row],[movie_id]],Financials[[#All],[movie_id]],0),MATCH("revenue",Financials[#Headers],0))</f>
        <v>714.4</v>
      </c>
      <c r="J38" s="4" t="str">
        <f>INDEX(financials!A:E,MATCH(Movies[[#This Row],[movie_id]],Financials[[#All],[movie_id]],0),MATCH("unit",Financials[#Headers],0))</f>
        <v>Millions</v>
      </c>
      <c r="K38" s="4" t="str">
        <f>INDEX(financials!A:E,MATCH(Movies[[#This Row],[movie_id]],Financials[[#All],[movie_id]],0),MATCH("currency",Financials[#Headers],0))</f>
        <v>USD</v>
      </c>
      <c r="L38" s="14">
        <f>INDEX(movie_actor!A:B,MATCH(Movies[[#This Row],[movie_id]],movie_actor!A:A,0),MATCH("actor_id",movieactor[#Headers],0))</f>
        <v>95</v>
      </c>
      <c r="M38" s="14" t="str">
        <f>INDEX(actors!A:C,MATCH(Movies[[#This Row],[actor_id]],actors[[#All],[actor_id]],0),MATCH("name",actors[#Headers],0))</f>
        <v>Chris Evans</v>
      </c>
      <c r="N38" s="17">
        <f>INDEX(actors!A:C,MATCH(Movies[[#This Row],[actor_id]],actors[[#All],[actor_id]],0),MATCH("birth_year",actors[#Headers],0))</f>
        <v>1981</v>
      </c>
      <c r="O38" s="18" t="str">
        <f>INDEX(languages!A:B,MATCH(Movies[[#This Row],[language_id]],languages!A:A,0),MATCH("language_name",languages[#Headers],0))</f>
        <v>English</v>
      </c>
    </row>
    <row r="39" spans="1:15" x14ac:dyDescent="0.35">
      <c r="A39" s="10">
        <v>139</v>
      </c>
      <c r="B39" s="4" t="s">
        <v>156</v>
      </c>
      <c r="C39" s="4" t="s">
        <v>6</v>
      </c>
      <c r="D39" s="4">
        <v>2018</v>
      </c>
      <c r="E39" s="4">
        <v>1.9</v>
      </c>
      <c r="F39" s="6" t="s">
        <v>26</v>
      </c>
      <c r="G39" s="4">
        <v>1</v>
      </c>
      <c r="H39" s="4">
        <f>INDEX(financials!A:E,MATCH(Movies[[#This Row],[movie_id]],Financials[[#All],[movie_id]],0),MATCH("budget",Financials[#Headers],0))</f>
        <v>1.8</v>
      </c>
      <c r="I39" s="4">
        <f>INDEX(financials!A:E,MATCH(Movies[[#This Row],[movie_id]],Financials[[#All],[movie_id]],0),MATCH("revenue",Financials[#Headers],0))</f>
        <v>3.1</v>
      </c>
      <c r="J39" s="4" t="str">
        <f>INDEX(financials!A:E,MATCH(Movies[[#This Row],[movie_id]],Financials[[#All],[movie_id]],0),MATCH("unit",Financials[#Headers],0))</f>
        <v>Billions</v>
      </c>
      <c r="K39" s="4" t="str">
        <f>INDEX(financials!A:E,MATCH(Movies[[#This Row],[movie_id]],Financials[[#All],[movie_id]],0),MATCH("currency",Financials[#Headers],0))</f>
        <v>INR</v>
      </c>
      <c r="L39" s="14">
        <f>INDEX(movie_actor!A:B,MATCH(Movies[[#This Row],[movie_id]],movie_actor!A:A,0),MATCH("actor_id",movieactor[#Headers],0))</f>
        <v>164</v>
      </c>
      <c r="M39" s="14" t="str">
        <f>INDEX(actors!A:C,MATCH(Movies[[#This Row],[actor_id]],actors[[#All],[actor_id]],0),MATCH("name",actors[#Headers],0))</f>
        <v>Salman Khan</v>
      </c>
      <c r="N39" s="17">
        <f>INDEX(actors!A:C,MATCH(Movies[[#This Row],[actor_id]],actors[[#All],[actor_id]],0),MATCH("birth_year",actors[#Headers],0))</f>
        <v>1965</v>
      </c>
      <c r="O39" s="18" t="str">
        <f>INDEX(languages!A:B,MATCH(Movies[[#This Row],[language_id]],languages!A:A,0),MATCH("language_name",languages[#Headers],0))</f>
        <v>Hindi</v>
      </c>
    </row>
    <row r="40" spans="1:15" x14ac:dyDescent="0.35">
      <c r="A40" s="11">
        <v>140</v>
      </c>
      <c r="B40" s="5" t="s">
        <v>157</v>
      </c>
      <c r="C40" s="5" t="s">
        <v>6</v>
      </c>
      <c r="D40" s="5">
        <v>2021</v>
      </c>
      <c r="E40" s="5">
        <v>8.4</v>
      </c>
      <c r="F40" s="12" t="s">
        <v>12</v>
      </c>
      <c r="G40" s="5">
        <v>1</v>
      </c>
      <c r="H40" s="5">
        <f>INDEX(financials!A:E,MATCH(Movies[[#This Row],[movie_id]],Financials[[#All],[movie_id]],0),MATCH("budget",Financials[#Headers],0))</f>
        <v>500</v>
      </c>
      <c r="I40" s="5">
        <f>INDEX(financials!A:E,MATCH(Movies[[#This Row],[movie_id]],Financials[[#All],[movie_id]],0),MATCH("revenue",Financials[#Headers],0))</f>
        <v>950</v>
      </c>
      <c r="J40" s="5" t="str">
        <f>INDEX(financials!A:E,MATCH(Movies[[#This Row],[movie_id]],Financials[[#All],[movie_id]],0),MATCH("unit",Financials[#Headers],0))</f>
        <v>Millions</v>
      </c>
      <c r="K40" s="5" t="str">
        <f>INDEX(financials!A:E,MATCH(Movies[[#This Row],[movie_id]],Financials[[#All],[movie_id]],0),MATCH("currency",Financials[#Headers],0))</f>
        <v>INR</v>
      </c>
      <c r="L40" s="15">
        <f>INDEX(movie_actor!A:B,MATCH(Movies[[#This Row],[movie_id]],movie_actor!A:A,0),MATCH("actor_id",movieactor[#Headers],0))</f>
        <v>169</v>
      </c>
      <c r="M40" s="15" t="str">
        <f>INDEX(actors!A:C,MATCH(Movies[[#This Row],[actor_id]],actors[[#All],[actor_id]],0),MATCH("name",actors[#Headers],0))</f>
        <v>Sidharth Malhotra</v>
      </c>
      <c r="N40" s="19">
        <f>INDEX(actors!A:C,MATCH(Movies[[#This Row],[actor_id]],actors[[#All],[actor_id]],0),MATCH("birth_year",actors[#Headers],0))</f>
        <v>1985</v>
      </c>
      <c r="O40" s="20" t="str">
        <f>INDEX(languages!A:B,MATCH(Movies[[#This Row],[language_id]],languages!A:A,0),MATCH("language_name",languages[#Headers],0))</f>
        <v>Hindi</v>
      </c>
    </row>
  </sheetData>
  <phoneticPr fontId="2" type="noConversion"/>
  <conditionalFormatting sqref="A1:B1">
    <cfRule type="duplicateValues" dxfId="24" priority="3"/>
  </conditionalFormatting>
  <conditionalFormatting sqref="A1:B40">
    <cfRule type="duplicateValues" dxfId="23" priority="7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51C0-D968-407B-BACE-9EC26BF67B79}">
  <dimension ref="A1:E41"/>
  <sheetViews>
    <sheetView zoomScaleNormal="100" workbookViewId="0">
      <selection activeCell="B12" sqref="B12"/>
    </sheetView>
  </sheetViews>
  <sheetFormatPr defaultRowHeight="14.5" x14ac:dyDescent="0.35"/>
  <cols>
    <col min="1" max="2" width="9.81640625" customWidth="1"/>
    <col min="6" max="6" width="9.453125" customWidth="1"/>
  </cols>
  <sheetData>
    <row r="1" spans="1:5" x14ac:dyDescent="0.3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35">
      <c r="A2">
        <v>101</v>
      </c>
      <c r="B2">
        <v>1</v>
      </c>
      <c r="C2">
        <v>12.5</v>
      </c>
      <c r="D2" t="s">
        <v>31</v>
      </c>
      <c r="E2" t="s">
        <v>32</v>
      </c>
    </row>
    <row r="3" spans="1:5" x14ac:dyDescent="0.35">
      <c r="A3">
        <v>102</v>
      </c>
      <c r="B3">
        <v>200</v>
      </c>
      <c r="C3">
        <v>954.8</v>
      </c>
      <c r="D3" t="s">
        <v>33</v>
      </c>
      <c r="E3" t="s">
        <v>34</v>
      </c>
    </row>
    <row r="4" spans="1:5" x14ac:dyDescent="0.35">
      <c r="A4">
        <v>103</v>
      </c>
      <c r="B4">
        <v>165</v>
      </c>
      <c r="C4">
        <v>644.79999999999995</v>
      </c>
      <c r="D4" t="s">
        <v>33</v>
      </c>
      <c r="E4" t="s">
        <v>34</v>
      </c>
    </row>
    <row r="5" spans="1:5" x14ac:dyDescent="0.35">
      <c r="A5">
        <v>104</v>
      </c>
      <c r="B5">
        <v>180</v>
      </c>
      <c r="C5">
        <v>854</v>
      </c>
      <c r="D5" t="s">
        <v>33</v>
      </c>
      <c r="E5" t="s">
        <v>34</v>
      </c>
    </row>
    <row r="6" spans="1:5" x14ac:dyDescent="0.35">
      <c r="A6">
        <v>105</v>
      </c>
      <c r="B6">
        <v>250</v>
      </c>
      <c r="C6">
        <v>670</v>
      </c>
      <c r="D6" t="s">
        <v>33</v>
      </c>
      <c r="E6" t="s">
        <v>34</v>
      </c>
    </row>
    <row r="7" spans="1:5" x14ac:dyDescent="0.35">
      <c r="A7">
        <v>107</v>
      </c>
      <c r="B7">
        <v>400</v>
      </c>
      <c r="C7">
        <v>2000</v>
      </c>
      <c r="D7" t="s">
        <v>33</v>
      </c>
      <c r="E7" t="s">
        <v>32</v>
      </c>
    </row>
    <row r="8" spans="1:5" x14ac:dyDescent="0.35">
      <c r="A8">
        <v>108</v>
      </c>
      <c r="B8">
        <v>550</v>
      </c>
      <c r="C8">
        <v>4000</v>
      </c>
      <c r="D8" t="s">
        <v>33</v>
      </c>
      <c r="E8" t="s">
        <v>32</v>
      </c>
    </row>
    <row r="9" spans="1:5" x14ac:dyDescent="0.35">
      <c r="A9">
        <v>109</v>
      </c>
      <c r="B9">
        <v>390</v>
      </c>
      <c r="C9">
        <v>1360</v>
      </c>
      <c r="D9" t="s">
        <v>33</v>
      </c>
      <c r="E9" t="s">
        <v>32</v>
      </c>
    </row>
    <row r="10" spans="1:5" x14ac:dyDescent="0.35">
      <c r="A10">
        <v>110</v>
      </c>
      <c r="B10">
        <v>1.4</v>
      </c>
      <c r="C10">
        <v>3.5</v>
      </c>
      <c r="D10" t="s">
        <v>31</v>
      </c>
      <c r="E10" t="s">
        <v>32</v>
      </c>
    </row>
    <row r="11" spans="1:5" x14ac:dyDescent="0.35">
      <c r="A11">
        <v>111</v>
      </c>
      <c r="B11">
        <v>25</v>
      </c>
      <c r="C11">
        <v>73.3</v>
      </c>
      <c r="D11" t="s">
        <v>33</v>
      </c>
      <c r="E11" t="s">
        <v>34</v>
      </c>
    </row>
    <row r="12" spans="1:5" x14ac:dyDescent="0.35">
      <c r="A12">
        <v>113</v>
      </c>
      <c r="B12">
        <v>165</v>
      </c>
      <c r="C12">
        <v>701.8</v>
      </c>
      <c r="D12" t="s">
        <v>33</v>
      </c>
      <c r="E12" t="s">
        <v>34</v>
      </c>
    </row>
    <row r="13" spans="1:5" x14ac:dyDescent="0.35">
      <c r="A13">
        <v>114</v>
      </c>
      <c r="B13">
        <v>205</v>
      </c>
      <c r="C13">
        <v>365.3</v>
      </c>
      <c r="D13" t="s">
        <v>33</v>
      </c>
      <c r="E13" t="s">
        <v>34</v>
      </c>
    </row>
    <row r="14" spans="1:5" x14ac:dyDescent="0.35">
      <c r="A14">
        <v>115</v>
      </c>
      <c r="B14">
        <v>55</v>
      </c>
      <c r="C14">
        <v>307.10000000000002</v>
      </c>
      <c r="D14" t="s">
        <v>33</v>
      </c>
      <c r="E14" t="s">
        <v>34</v>
      </c>
    </row>
    <row r="15" spans="1:5" x14ac:dyDescent="0.35">
      <c r="A15">
        <v>116</v>
      </c>
      <c r="B15">
        <v>103</v>
      </c>
      <c r="C15">
        <v>460.5</v>
      </c>
      <c r="D15" t="s">
        <v>33</v>
      </c>
      <c r="E15" t="s">
        <v>34</v>
      </c>
    </row>
    <row r="16" spans="1:5" x14ac:dyDescent="0.35">
      <c r="A16">
        <v>117</v>
      </c>
      <c r="B16">
        <v>200</v>
      </c>
      <c r="C16">
        <v>2202</v>
      </c>
      <c r="D16" t="s">
        <v>33</v>
      </c>
      <c r="E16" t="s">
        <v>34</v>
      </c>
    </row>
    <row r="17" spans="1:5" x14ac:dyDescent="0.35">
      <c r="A17">
        <v>118</v>
      </c>
      <c r="B17">
        <v>3.18</v>
      </c>
      <c r="C17">
        <v>3.3</v>
      </c>
      <c r="D17" t="s">
        <v>33</v>
      </c>
      <c r="E17" t="s">
        <v>34</v>
      </c>
    </row>
    <row r="18" spans="1:5" x14ac:dyDescent="0.35">
      <c r="A18">
        <v>119</v>
      </c>
      <c r="B18">
        <v>237</v>
      </c>
      <c r="C18">
        <v>2847</v>
      </c>
      <c r="D18" t="s">
        <v>33</v>
      </c>
      <c r="E18" t="s">
        <v>34</v>
      </c>
    </row>
    <row r="19" spans="1:5" x14ac:dyDescent="0.35">
      <c r="A19">
        <v>120</v>
      </c>
      <c r="B19">
        <v>7.2</v>
      </c>
      <c r="C19">
        <v>291</v>
      </c>
      <c r="D19" t="s">
        <v>33</v>
      </c>
      <c r="E19" t="s">
        <v>34</v>
      </c>
    </row>
    <row r="20" spans="1:5" x14ac:dyDescent="0.35">
      <c r="A20">
        <v>121</v>
      </c>
      <c r="B20">
        <v>185</v>
      </c>
      <c r="C20">
        <v>1006</v>
      </c>
      <c r="D20" t="s">
        <v>33</v>
      </c>
      <c r="E20" t="s">
        <v>34</v>
      </c>
    </row>
    <row r="21" spans="1:5" x14ac:dyDescent="0.35">
      <c r="A21">
        <v>122</v>
      </c>
      <c r="B21">
        <v>22</v>
      </c>
      <c r="C21">
        <v>322.2</v>
      </c>
      <c r="D21" t="s">
        <v>33</v>
      </c>
      <c r="E21" t="s">
        <v>34</v>
      </c>
    </row>
    <row r="22" spans="1:5" x14ac:dyDescent="0.35">
      <c r="A22">
        <v>123</v>
      </c>
      <c r="B22">
        <v>63</v>
      </c>
      <c r="C22">
        <v>1046</v>
      </c>
      <c r="D22" t="s">
        <v>33</v>
      </c>
      <c r="E22" t="s">
        <v>34</v>
      </c>
    </row>
    <row r="23" spans="1:5" x14ac:dyDescent="0.35">
      <c r="A23">
        <v>124</v>
      </c>
      <c r="B23">
        <v>15.5</v>
      </c>
      <c r="C23">
        <v>263.10000000000002</v>
      </c>
      <c r="D23" t="s">
        <v>33</v>
      </c>
      <c r="E23" t="s">
        <v>34</v>
      </c>
    </row>
    <row r="24" spans="1:5" x14ac:dyDescent="0.35">
      <c r="A24">
        <v>125</v>
      </c>
      <c r="B24">
        <v>400</v>
      </c>
      <c r="C24">
        <v>2798</v>
      </c>
      <c r="D24" t="s">
        <v>33</v>
      </c>
      <c r="E24" t="s">
        <v>34</v>
      </c>
    </row>
    <row r="25" spans="1:5" x14ac:dyDescent="0.35">
      <c r="A25">
        <v>126</v>
      </c>
      <c r="B25">
        <v>400</v>
      </c>
      <c r="C25">
        <v>2048</v>
      </c>
      <c r="D25" t="s">
        <v>33</v>
      </c>
      <c r="E25" t="s">
        <v>34</v>
      </c>
    </row>
    <row r="26" spans="1:5" x14ac:dyDescent="0.35">
      <c r="A26">
        <v>127</v>
      </c>
      <c r="B26">
        <v>70</v>
      </c>
      <c r="C26">
        <v>100</v>
      </c>
      <c r="D26" t="s">
        <v>33</v>
      </c>
      <c r="E26" t="s">
        <v>32</v>
      </c>
    </row>
    <row r="27" spans="1:5" x14ac:dyDescent="0.35">
      <c r="A27">
        <v>128</v>
      </c>
      <c r="B27">
        <v>120</v>
      </c>
      <c r="C27">
        <v>1350</v>
      </c>
      <c r="D27" t="s">
        <v>33</v>
      </c>
      <c r="E27" t="s">
        <v>32</v>
      </c>
    </row>
    <row r="28" spans="1:5" x14ac:dyDescent="0.35">
      <c r="A28">
        <v>129</v>
      </c>
      <c r="B28">
        <v>100</v>
      </c>
      <c r="C28">
        <v>410</v>
      </c>
      <c r="D28" t="s">
        <v>33</v>
      </c>
      <c r="E28" t="s">
        <v>32</v>
      </c>
    </row>
    <row r="29" spans="1:5" x14ac:dyDescent="0.35">
      <c r="A29">
        <v>130</v>
      </c>
      <c r="B29">
        <v>850</v>
      </c>
      <c r="C29">
        <v>8540</v>
      </c>
      <c r="D29" t="s">
        <v>33</v>
      </c>
      <c r="E29" t="s">
        <v>32</v>
      </c>
    </row>
    <row r="30" spans="1:5" x14ac:dyDescent="0.35">
      <c r="A30">
        <v>131</v>
      </c>
      <c r="B30">
        <v>1</v>
      </c>
      <c r="C30">
        <v>5.9</v>
      </c>
      <c r="D30" t="s">
        <v>31</v>
      </c>
      <c r="E30" t="s">
        <v>32</v>
      </c>
    </row>
    <row r="31" spans="1:5" x14ac:dyDescent="0.35">
      <c r="A31">
        <v>132</v>
      </c>
      <c r="B31">
        <v>2</v>
      </c>
      <c r="C31">
        <v>3.6</v>
      </c>
      <c r="D31" t="s">
        <v>31</v>
      </c>
      <c r="E31" t="s">
        <v>32</v>
      </c>
    </row>
    <row r="32" spans="1:5" x14ac:dyDescent="0.35">
      <c r="A32">
        <v>133</v>
      </c>
      <c r="B32">
        <v>5.5</v>
      </c>
      <c r="C32">
        <v>12</v>
      </c>
      <c r="D32" t="s">
        <v>31</v>
      </c>
      <c r="E32" t="s">
        <v>32</v>
      </c>
    </row>
    <row r="33" spans="1:5" x14ac:dyDescent="0.35">
      <c r="A33">
        <v>134</v>
      </c>
      <c r="B33">
        <v>1.8</v>
      </c>
      <c r="C33">
        <v>6.5</v>
      </c>
      <c r="D33" t="s">
        <v>31</v>
      </c>
      <c r="E33" t="s">
        <v>32</v>
      </c>
    </row>
    <row r="34" spans="1:5" x14ac:dyDescent="0.35">
      <c r="A34">
        <v>135</v>
      </c>
      <c r="B34">
        <v>250</v>
      </c>
      <c r="C34">
        <v>3409</v>
      </c>
      <c r="D34" t="s">
        <v>33</v>
      </c>
      <c r="E34" t="s">
        <v>32</v>
      </c>
    </row>
    <row r="35" spans="1:5" x14ac:dyDescent="0.35">
      <c r="A35">
        <v>136</v>
      </c>
      <c r="B35">
        <v>900</v>
      </c>
      <c r="C35">
        <v>11690</v>
      </c>
      <c r="D35" t="s">
        <v>33</v>
      </c>
      <c r="E35" t="s">
        <v>32</v>
      </c>
    </row>
    <row r="36" spans="1:5" x14ac:dyDescent="0.35">
      <c r="A36">
        <v>137</v>
      </c>
      <c r="B36">
        <v>216.7</v>
      </c>
      <c r="C36">
        <v>370.6</v>
      </c>
      <c r="D36" t="s">
        <v>33</v>
      </c>
      <c r="E36" t="s">
        <v>34</v>
      </c>
    </row>
    <row r="37" spans="1:5" x14ac:dyDescent="0.35">
      <c r="A37">
        <v>138</v>
      </c>
      <c r="B37">
        <v>177</v>
      </c>
      <c r="C37">
        <v>714.4</v>
      </c>
      <c r="D37" t="s">
        <v>33</v>
      </c>
      <c r="E37" t="s">
        <v>34</v>
      </c>
    </row>
    <row r="38" spans="1:5" x14ac:dyDescent="0.35">
      <c r="A38">
        <v>139</v>
      </c>
      <c r="B38">
        <v>1.8</v>
      </c>
      <c r="C38">
        <v>3.1</v>
      </c>
      <c r="D38" t="s">
        <v>31</v>
      </c>
      <c r="E38" t="s">
        <v>32</v>
      </c>
    </row>
    <row r="39" spans="1:5" x14ac:dyDescent="0.35">
      <c r="A39">
        <v>140</v>
      </c>
      <c r="B39">
        <v>500</v>
      </c>
      <c r="C39">
        <v>950</v>
      </c>
      <c r="D39" t="s">
        <v>33</v>
      </c>
      <c r="E39" t="s">
        <v>32</v>
      </c>
    </row>
    <row r="40" spans="1:5" x14ac:dyDescent="0.35">
      <c r="A40">
        <v>406</v>
      </c>
      <c r="B40">
        <v>30</v>
      </c>
      <c r="C40">
        <v>350</v>
      </c>
      <c r="D40" t="s">
        <v>33</v>
      </c>
      <c r="E40" t="s">
        <v>32</v>
      </c>
    </row>
    <row r="41" spans="1:5" x14ac:dyDescent="0.35">
      <c r="A41">
        <v>412</v>
      </c>
      <c r="B41">
        <v>160</v>
      </c>
      <c r="C41">
        <v>836.8</v>
      </c>
      <c r="D41" t="s">
        <v>33</v>
      </c>
      <c r="E4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5207-AD4A-4BA5-928C-E78006753CCF}">
  <dimension ref="A1:C68"/>
  <sheetViews>
    <sheetView zoomScaleNormal="100" workbookViewId="0">
      <selection activeCell="D10" sqref="D10"/>
    </sheetView>
  </sheetViews>
  <sheetFormatPr defaultRowHeight="14.5" x14ac:dyDescent="0.35"/>
  <cols>
    <col min="2" max="2" width="26.453125" customWidth="1"/>
    <col min="3" max="3" width="10.81640625" customWidth="1"/>
  </cols>
  <sheetData>
    <row r="1" spans="1:3" x14ac:dyDescent="0.35">
      <c r="A1" s="2" t="s">
        <v>35</v>
      </c>
      <c r="B1" s="2" t="s">
        <v>36</v>
      </c>
      <c r="C1" s="2" t="s">
        <v>37</v>
      </c>
    </row>
    <row r="2" spans="1:3" x14ac:dyDescent="0.35">
      <c r="A2">
        <v>50</v>
      </c>
      <c r="B2" t="s">
        <v>38</v>
      </c>
      <c r="C2">
        <v>1986</v>
      </c>
    </row>
    <row r="3" spans="1:3" x14ac:dyDescent="0.35">
      <c r="A3">
        <v>51</v>
      </c>
      <c r="B3" t="s">
        <v>39</v>
      </c>
      <c r="C3">
        <v>1959</v>
      </c>
    </row>
    <row r="4" spans="1:3" x14ac:dyDescent="0.35">
      <c r="A4">
        <v>52</v>
      </c>
      <c r="B4" t="s">
        <v>40</v>
      </c>
      <c r="C4">
        <v>1976</v>
      </c>
    </row>
    <row r="5" spans="1:3" x14ac:dyDescent="0.35">
      <c r="A5">
        <v>53</v>
      </c>
      <c r="B5" t="s">
        <v>41</v>
      </c>
      <c r="C5">
        <v>1989</v>
      </c>
    </row>
    <row r="6" spans="1:3" x14ac:dyDescent="0.35">
      <c r="A6">
        <v>54</v>
      </c>
      <c r="B6" t="s">
        <v>42</v>
      </c>
      <c r="C6">
        <v>1983</v>
      </c>
    </row>
    <row r="7" spans="1:3" x14ac:dyDescent="0.35">
      <c r="A7">
        <v>55</v>
      </c>
      <c r="B7" t="s">
        <v>43</v>
      </c>
      <c r="C7">
        <v>1981</v>
      </c>
    </row>
    <row r="8" spans="1:3" x14ac:dyDescent="0.35">
      <c r="A8">
        <v>56</v>
      </c>
      <c r="B8" t="s">
        <v>44</v>
      </c>
      <c r="C8">
        <v>1981</v>
      </c>
    </row>
    <row r="9" spans="1:3" x14ac:dyDescent="0.35">
      <c r="A9">
        <v>57</v>
      </c>
      <c r="B9" t="s">
        <v>45</v>
      </c>
      <c r="C9">
        <v>1942</v>
      </c>
    </row>
    <row r="10" spans="1:3" x14ac:dyDescent="0.35">
      <c r="A10">
        <v>58</v>
      </c>
      <c r="B10" t="s">
        <v>46</v>
      </c>
      <c r="C10">
        <v>1948</v>
      </c>
    </row>
    <row r="11" spans="1:3" x14ac:dyDescent="0.35">
      <c r="A11">
        <v>59</v>
      </c>
      <c r="B11" t="s">
        <v>47</v>
      </c>
      <c r="C11">
        <v>1965</v>
      </c>
    </row>
    <row r="12" spans="1:3" x14ac:dyDescent="0.35">
      <c r="A12">
        <v>60</v>
      </c>
      <c r="B12" t="s">
        <v>48</v>
      </c>
      <c r="C12">
        <v>1974</v>
      </c>
    </row>
    <row r="13" spans="1:3" x14ac:dyDescent="0.35">
      <c r="A13">
        <v>61</v>
      </c>
      <c r="B13" t="s">
        <v>49</v>
      </c>
      <c r="C13">
        <v>1965</v>
      </c>
    </row>
    <row r="14" spans="1:3" x14ac:dyDescent="0.35">
      <c r="A14">
        <v>62</v>
      </c>
      <c r="B14" t="s">
        <v>50</v>
      </c>
      <c r="C14">
        <v>1970</v>
      </c>
    </row>
    <row r="15" spans="1:3" x14ac:dyDescent="0.35">
      <c r="A15">
        <v>63</v>
      </c>
      <c r="B15" t="s">
        <v>51</v>
      </c>
      <c r="C15">
        <v>1979</v>
      </c>
    </row>
    <row r="16" spans="1:3" x14ac:dyDescent="0.35">
      <c r="A16">
        <v>64</v>
      </c>
      <c r="B16" t="s">
        <v>52</v>
      </c>
      <c r="C16">
        <v>1974</v>
      </c>
    </row>
    <row r="17" spans="1:3" x14ac:dyDescent="0.35">
      <c r="A17">
        <v>65</v>
      </c>
      <c r="B17" t="s">
        <v>53</v>
      </c>
      <c r="C17">
        <v>1985</v>
      </c>
    </row>
    <row r="18" spans="1:3" x14ac:dyDescent="0.35">
      <c r="A18">
        <v>66</v>
      </c>
      <c r="B18" t="s">
        <v>54</v>
      </c>
      <c r="C18">
        <v>1986</v>
      </c>
    </row>
    <row r="19" spans="1:3" x14ac:dyDescent="0.35">
      <c r="A19">
        <v>67</v>
      </c>
      <c r="B19" t="s">
        <v>55</v>
      </c>
      <c r="C19">
        <v>1958</v>
      </c>
    </row>
    <row r="20" spans="1:3" x14ac:dyDescent="0.35">
      <c r="A20">
        <v>68</v>
      </c>
      <c r="B20" t="s">
        <v>56</v>
      </c>
      <c r="C20">
        <v>1937</v>
      </c>
    </row>
    <row r="21" spans="1:3" x14ac:dyDescent="0.35">
      <c r="A21">
        <v>69</v>
      </c>
      <c r="B21" t="s">
        <v>57</v>
      </c>
      <c r="C21">
        <v>1974</v>
      </c>
    </row>
    <row r="22" spans="1:3" x14ac:dyDescent="0.35">
      <c r="A22">
        <v>70</v>
      </c>
      <c r="B22" t="s">
        <v>58</v>
      </c>
      <c r="C22">
        <v>1959</v>
      </c>
    </row>
    <row r="23" spans="1:3" x14ac:dyDescent="0.35">
      <c r="A23">
        <v>71</v>
      </c>
      <c r="B23" t="s">
        <v>59</v>
      </c>
      <c r="C23">
        <v>1969</v>
      </c>
    </row>
    <row r="24" spans="1:3" x14ac:dyDescent="0.35">
      <c r="A24">
        <v>72</v>
      </c>
      <c r="B24" t="s">
        <v>60</v>
      </c>
      <c r="C24">
        <v>1982</v>
      </c>
    </row>
    <row r="25" spans="1:3" x14ac:dyDescent="0.35">
      <c r="A25">
        <v>73</v>
      </c>
      <c r="B25" t="s">
        <v>61</v>
      </c>
      <c r="C25">
        <v>1984</v>
      </c>
    </row>
    <row r="26" spans="1:3" x14ac:dyDescent="0.35">
      <c r="A26">
        <v>74</v>
      </c>
      <c r="B26" t="s">
        <v>62</v>
      </c>
      <c r="C26">
        <v>1986</v>
      </c>
    </row>
    <row r="27" spans="1:3" x14ac:dyDescent="0.35">
      <c r="A27">
        <v>75</v>
      </c>
      <c r="B27" t="s">
        <v>63</v>
      </c>
      <c r="C27">
        <v>1968</v>
      </c>
    </row>
    <row r="28" spans="1:3" x14ac:dyDescent="0.35">
      <c r="A28">
        <v>76</v>
      </c>
      <c r="B28" t="s">
        <v>64</v>
      </c>
      <c r="C28">
        <v>1972</v>
      </c>
    </row>
    <row r="29" spans="1:3" x14ac:dyDescent="0.35">
      <c r="A29">
        <v>77</v>
      </c>
      <c r="B29" t="s">
        <v>65</v>
      </c>
      <c r="C29">
        <v>1964</v>
      </c>
    </row>
    <row r="30" spans="1:3" x14ac:dyDescent="0.35">
      <c r="A30">
        <v>78</v>
      </c>
      <c r="B30" t="s">
        <v>66</v>
      </c>
      <c r="C30">
        <v>1974</v>
      </c>
    </row>
    <row r="31" spans="1:3" x14ac:dyDescent="0.35">
      <c r="A31">
        <v>79</v>
      </c>
      <c r="B31" t="s">
        <v>67</v>
      </c>
      <c r="C31">
        <v>1975</v>
      </c>
    </row>
    <row r="32" spans="1:3" x14ac:dyDescent="0.35">
      <c r="A32">
        <v>80</v>
      </c>
      <c r="B32" t="s">
        <v>68</v>
      </c>
      <c r="C32">
        <v>1908</v>
      </c>
    </row>
    <row r="33" spans="1:3" x14ac:dyDescent="0.35">
      <c r="A33">
        <v>81</v>
      </c>
      <c r="B33" t="s">
        <v>69</v>
      </c>
      <c r="C33">
        <v>1921</v>
      </c>
    </row>
    <row r="34" spans="1:3" x14ac:dyDescent="0.35">
      <c r="A34">
        <v>82</v>
      </c>
      <c r="B34" t="s">
        <v>70</v>
      </c>
      <c r="C34">
        <v>1976</v>
      </c>
    </row>
    <row r="35" spans="1:3" x14ac:dyDescent="0.35">
      <c r="A35">
        <v>83</v>
      </c>
      <c r="B35" t="s">
        <v>71</v>
      </c>
      <c r="C35">
        <v>1978</v>
      </c>
    </row>
    <row r="36" spans="1:3" x14ac:dyDescent="0.35">
      <c r="A36">
        <v>84</v>
      </c>
      <c r="B36" t="s">
        <v>72</v>
      </c>
      <c r="C36">
        <v>1924</v>
      </c>
    </row>
    <row r="37" spans="1:3" x14ac:dyDescent="0.35">
      <c r="A37">
        <v>85</v>
      </c>
      <c r="B37" t="s">
        <v>73</v>
      </c>
      <c r="C37">
        <v>1940</v>
      </c>
    </row>
    <row r="38" spans="1:3" x14ac:dyDescent="0.35">
      <c r="A38">
        <v>86</v>
      </c>
      <c r="B38" t="s">
        <v>74</v>
      </c>
      <c r="C38">
        <v>1974</v>
      </c>
    </row>
    <row r="39" spans="1:3" x14ac:dyDescent="0.35">
      <c r="A39">
        <v>87</v>
      </c>
      <c r="B39" t="s">
        <v>75</v>
      </c>
      <c r="C39">
        <v>1979</v>
      </c>
    </row>
    <row r="40" spans="1:3" x14ac:dyDescent="0.35">
      <c r="A40">
        <v>88</v>
      </c>
      <c r="B40" t="s">
        <v>76</v>
      </c>
      <c r="C40">
        <v>1952</v>
      </c>
    </row>
    <row r="41" spans="1:3" x14ac:dyDescent="0.35">
      <c r="A41">
        <v>89</v>
      </c>
      <c r="B41" t="s">
        <v>77</v>
      </c>
      <c r="C41">
        <v>1943</v>
      </c>
    </row>
    <row r="42" spans="1:3" x14ac:dyDescent="0.35">
      <c r="A42">
        <v>90</v>
      </c>
      <c r="B42" t="s">
        <v>78</v>
      </c>
      <c r="C42">
        <v>1947</v>
      </c>
    </row>
    <row r="43" spans="1:3" x14ac:dyDescent="0.35">
      <c r="A43">
        <v>91</v>
      </c>
      <c r="B43" t="s">
        <v>79</v>
      </c>
      <c r="C43">
        <v>1967</v>
      </c>
    </row>
    <row r="44" spans="1:3" x14ac:dyDescent="0.35">
      <c r="A44">
        <v>92</v>
      </c>
      <c r="B44" t="s">
        <v>80</v>
      </c>
      <c r="C44">
        <v>1967</v>
      </c>
    </row>
    <row r="45" spans="1:3" x14ac:dyDescent="0.35">
      <c r="A45">
        <v>93</v>
      </c>
      <c r="B45" t="s">
        <v>81</v>
      </c>
      <c r="C45">
        <v>1975</v>
      </c>
    </row>
    <row r="46" spans="1:3" x14ac:dyDescent="0.35">
      <c r="A46">
        <v>94</v>
      </c>
      <c r="B46" t="s">
        <v>82</v>
      </c>
      <c r="C46">
        <v>1965</v>
      </c>
    </row>
    <row r="47" spans="1:3" x14ac:dyDescent="0.35">
      <c r="A47">
        <v>95</v>
      </c>
      <c r="B47" t="s">
        <v>83</v>
      </c>
      <c r="C47">
        <v>1981</v>
      </c>
    </row>
    <row r="48" spans="1:3" x14ac:dyDescent="0.35">
      <c r="A48">
        <v>150</v>
      </c>
      <c r="B48" t="s">
        <v>84</v>
      </c>
      <c r="C48">
        <v>1905</v>
      </c>
    </row>
    <row r="49" spans="1:3" x14ac:dyDescent="0.35">
      <c r="A49">
        <v>151</v>
      </c>
      <c r="B49" t="s">
        <v>85</v>
      </c>
      <c r="C49">
        <v>1919</v>
      </c>
    </row>
    <row r="50" spans="1:3" x14ac:dyDescent="0.35">
      <c r="A50">
        <v>152</v>
      </c>
      <c r="B50" t="s">
        <v>86</v>
      </c>
      <c r="C50">
        <v>1997</v>
      </c>
    </row>
    <row r="51" spans="1:3" x14ac:dyDescent="0.35">
      <c r="A51">
        <v>153</v>
      </c>
      <c r="B51" t="s">
        <v>87</v>
      </c>
      <c r="C51">
        <v>1929</v>
      </c>
    </row>
    <row r="52" spans="1:3" x14ac:dyDescent="0.35">
      <c r="A52">
        <v>154</v>
      </c>
      <c r="B52" t="s">
        <v>88</v>
      </c>
      <c r="C52">
        <v>1988</v>
      </c>
    </row>
    <row r="53" spans="1:3" x14ac:dyDescent="0.35">
      <c r="A53">
        <v>155</v>
      </c>
      <c r="B53" t="s">
        <v>89</v>
      </c>
      <c r="C53">
        <v>1982</v>
      </c>
    </row>
    <row r="54" spans="1:3" x14ac:dyDescent="0.35">
      <c r="A54">
        <v>156</v>
      </c>
      <c r="B54" t="s">
        <v>90</v>
      </c>
      <c r="C54">
        <v>1982</v>
      </c>
    </row>
    <row r="55" spans="1:3" x14ac:dyDescent="0.35">
      <c r="A55">
        <v>157</v>
      </c>
      <c r="B55" t="s">
        <v>91</v>
      </c>
      <c r="C55">
        <v>1982</v>
      </c>
    </row>
    <row r="56" spans="1:3" x14ac:dyDescent="0.35">
      <c r="A56">
        <v>158</v>
      </c>
      <c r="B56" t="s">
        <v>92</v>
      </c>
      <c r="C56">
        <v>1983</v>
      </c>
    </row>
    <row r="57" spans="1:3" x14ac:dyDescent="0.35">
      <c r="A57">
        <v>159</v>
      </c>
      <c r="B57" t="s">
        <v>93</v>
      </c>
      <c r="C57">
        <v>1985</v>
      </c>
    </row>
    <row r="58" spans="1:3" x14ac:dyDescent="0.35">
      <c r="A58">
        <v>160</v>
      </c>
      <c r="B58" t="s">
        <v>94</v>
      </c>
      <c r="C58">
        <v>1979</v>
      </c>
    </row>
    <row r="59" spans="1:3" x14ac:dyDescent="0.35">
      <c r="A59">
        <v>161</v>
      </c>
      <c r="B59" t="s">
        <v>95</v>
      </c>
      <c r="C59">
        <v>1984</v>
      </c>
    </row>
    <row r="60" spans="1:3" x14ac:dyDescent="0.35">
      <c r="A60">
        <v>162</v>
      </c>
      <c r="B60" t="s">
        <v>96</v>
      </c>
      <c r="C60">
        <v>1950</v>
      </c>
    </row>
    <row r="61" spans="1:3" x14ac:dyDescent="0.35">
      <c r="A61">
        <v>163</v>
      </c>
      <c r="B61" t="s">
        <v>97</v>
      </c>
      <c r="C61">
        <v>1955</v>
      </c>
    </row>
    <row r="62" spans="1:3" x14ac:dyDescent="0.35">
      <c r="A62">
        <v>164</v>
      </c>
      <c r="B62" t="s">
        <v>98</v>
      </c>
      <c r="C62">
        <v>1965</v>
      </c>
    </row>
    <row r="63" spans="1:3" x14ac:dyDescent="0.35">
      <c r="A63">
        <v>165</v>
      </c>
      <c r="B63" t="s">
        <v>99</v>
      </c>
      <c r="C63">
        <v>1967</v>
      </c>
    </row>
    <row r="64" spans="1:3" x14ac:dyDescent="0.35">
      <c r="A64">
        <v>166</v>
      </c>
      <c r="B64" t="s">
        <v>100</v>
      </c>
      <c r="C64">
        <v>1946</v>
      </c>
    </row>
    <row r="65" spans="1:3" x14ac:dyDescent="0.35">
      <c r="A65">
        <v>167</v>
      </c>
      <c r="B65" t="s">
        <v>101</v>
      </c>
      <c r="C65">
        <v>1982</v>
      </c>
    </row>
    <row r="66" spans="1:3" x14ac:dyDescent="0.35">
      <c r="A66">
        <v>168</v>
      </c>
      <c r="B66" t="s">
        <v>102</v>
      </c>
      <c r="C66">
        <v>1956</v>
      </c>
    </row>
    <row r="67" spans="1:3" x14ac:dyDescent="0.35">
      <c r="A67">
        <v>169</v>
      </c>
      <c r="B67" t="s">
        <v>103</v>
      </c>
      <c r="C67">
        <v>1985</v>
      </c>
    </row>
    <row r="68" spans="1:3" x14ac:dyDescent="0.35">
      <c r="A68">
        <v>170</v>
      </c>
      <c r="B68" t="s">
        <v>104</v>
      </c>
      <c r="C68">
        <v>1991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F180-645C-4BD4-BB22-B680DB6CAFAD}">
  <dimension ref="A1:B86"/>
  <sheetViews>
    <sheetView zoomScaleNormal="100" workbookViewId="0"/>
  </sheetViews>
  <sheetFormatPr defaultRowHeight="14.5" x14ac:dyDescent="0.35"/>
  <cols>
    <col min="1" max="1" width="9.81640625" customWidth="1"/>
  </cols>
  <sheetData>
    <row r="1" spans="1:2" x14ac:dyDescent="0.35">
      <c r="A1" s="2" t="s">
        <v>0</v>
      </c>
      <c r="B1" s="2" t="s">
        <v>35</v>
      </c>
    </row>
    <row r="2" spans="1:2" x14ac:dyDescent="0.35">
      <c r="A2">
        <v>101</v>
      </c>
      <c r="B2">
        <v>50</v>
      </c>
    </row>
    <row r="3" spans="1:2" x14ac:dyDescent="0.35">
      <c r="A3">
        <v>101</v>
      </c>
      <c r="B3">
        <v>51</v>
      </c>
    </row>
    <row r="4" spans="1:2" x14ac:dyDescent="0.35">
      <c r="A4">
        <v>102</v>
      </c>
      <c r="B4">
        <v>52</v>
      </c>
    </row>
    <row r="5" spans="1:2" x14ac:dyDescent="0.35">
      <c r="A5">
        <v>102</v>
      </c>
      <c r="B5">
        <v>53</v>
      </c>
    </row>
    <row r="6" spans="1:2" x14ac:dyDescent="0.35">
      <c r="A6">
        <v>103</v>
      </c>
      <c r="B6">
        <v>54</v>
      </c>
    </row>
    <row r="7" spans="1:2" x14ac:dyDescent="0.35">
      <c r="A7">
        <v>103</v>
      </c>
      <c r="B7">
        <v>55</v>
      </c>
    </row>
    <row r="8" spans="1:2" x14ac:dyDescent="0.35">
      <c r="A8">
        <v>103</v>
      </c>
      <c r="B8">
        <v>56</v>
      </c>
    </row>
    <row r="9" spans="1:2" x14ac:dyDescent="0.35">
      <c r="A9">
        <v>104</v>
      </c>
      <c r="B9">
        <v>54</v>
      </c>
    </row>
    <row r="10" spans="1:2" x14ac:dyDescent="0.35">
      <c r="A10">
        <v>104</v>
      </c>
      <c r="B10">
        <v>56</v>
      </c>
    </row>
    <row r="11" spans="1:2" x14ac:dyDescent="0.35">
      <c r="A11">
        <v>105</v>
      </c>
      <c r="B11">
        <v>54</v>
      </c>
    </row>
    <row r="12" spans="1:2" x14ac:dyDescent="0.35">
      <c r="A12">
        <v>105</v>
      </c>
      <c r="B12">
        <v>55</v>
      </c>
    </row>
    <row r="13" spans="1:2" x14ac:dyDescent="0.35">
      <c r="A13">
        <v>106</v>
      </c>
      <c r="B13">
        <v>57</v>
      </c>
    </row>
    <row r="14" spans="1:2" x14ac:dyDescent="0.35">
      <c r="A14">
        <v>106</v>
      </c>
      <c r="B14">
        <v>58</v>
      </c>
    </row>
    <row r="15" spans="1:2" x14ac:dyDescent="0.35">
      <c r="A15">
        <v>107</v>
      </c>
      <c r="B15">
        <v>59</v>
      </c>
    </row>
    <row r="16" spans="1:2" x14ac:dyDescent="0.35">
      <c r="A16">
        <v>107</v>
      </c>
      <c r="B16">
        <v>60</v>
      </c>
    </row>
    <row r="17" spans="1:2" x14ac:dyDescent="0.35">
      <c r="A17">
        <v>108</v>
      </c>
      <c r="B17">
        <v>61</v>
      </c>
    </row>
    <row r="18" spans="1:2" x14ac:dyDescent="0.35">
      <c r="A18">
        <v>108</v>
      </c>
      <c r="B18">
        <v>62</v>
      </c>
    </row>
    <row r="19" spans="1:2" x14ac:dyDescent="0.35">
      <c r="A19">
        <v>108</v>
      </c>
      <c r="B19">
        <v>63</v>
      </c>
    </row>
    <row r="20" spans="1:2" x14ac:dyDescent="0.35">
      <c r="A20">
        <v>109</v>
      </c>
      <c r="B20">
        <v>59</v>
      </c>
    </row>
    <row r="21" spans="1:2" x14ac:dyDescent="0.35">
      <c r="A21">
        <v>109</v>
      </c>
      <c r="B21">
        <v>57</v>
      </c>
    </row>
    <row r="22" spans="1:2" x14ac:dyDescent="0.35">
      <c r="A22">
        <v>109</v>
      </c>
      <c r="B22">
        <v>64</v>
      </c>
    </row>
    <row r="23" spans="1:2" x14ac:dyDescent="0.35">
      <c r="A23">
        <v>110</v>
      </c>
      <c r="B23">
        <v>65</v>
      </c>
    </row>
    <row r="24" spans="1:2" x14ac:dyDescent="0.35">
      <c r="A24">
        <v>110</v>
      </c>
      <c r="B24">
        <v>66</v>
      </c>
    </row>
    <row r="25" spans="1:2" x14ac:dyDescent="0.35">
      <c r="A25">
        <v>111</v>
      </c>
      <c r="B25">
        <v>67</v>
      </c>
    </row>
    <row r="26" spans="1:2" x14ac:dyDescent="0.35">
      <c r="A26">
        <v>111</v>
      </c>
      <c r="B26">
        <v>68</v>
      </c>
    </row>
    <row r="27" spans="1:2" x14ac:dyDescent="0.35">
      <c r="A27">
        <v>112</v>
      </c>
      <c r="B27">
        <v>69</v>
      </c>
    </row>
    <row r="28" spans="1:2" x14ac:dyDescent="0.35">
      <c r="A28">
        <v>112</v>
      </c>
      <c r="B28">
        <v>70</v>
      </c>
    </row>
    <row r="29" spans="1:2" x14ac:dyDescent="0.35">
      <c r="A29">
        <v>113</v>
      </c>
      <c r="B29">
        <v>71</v>
      </c>
    </row>
    <row r="30" spans="1:2" x14ac:dyDescent="0.35">
      <c r="A30">
        <v>113</v>
      </c>
      <c r="B30">
        <v>72</v>
      </c>
    </row>
    <row r="31" spans="1:2" x14ac:dyDescent="0.35">
      <c r="A31">
        <v>114</v>
      </c>
      <c r="B31">
        <v>73</v>
      </c>
    </row>
    <row r="32" spans="1:2" x14ac:dyDescent="0.35">
      <c r="A32">
        <v>114</v>
      </c>
      <c r="B32">
        <v>74</v>
      </c>
    </row>
    <row r="33" spans="1:2" x14ac:dyDescent="0.35">
      <c r="A33">
        <v>115</v>
      </c>
      <c r="B33">
        <v>75</v>
      </c>
    </row>
    <row r="34" spans="1:2" x14ac:dyDescent="0.35">
      <c r="A34">
        <v>115</v>
      </c>
      <c r="B34">
        <v>76</v>
      </c>
    </row>
    <row r="35" spans="1:2" x14ac:dyDescent="0.35">
      <c r="A35">
        <v>116</v>
      </c>
      <c r="B35">
        <v>77</v>
      </c>
    </row>
    <row r="36" spans="1:2" x14ac:dyDescent="0.35">
      <c r="A36">
        <v>116</v>
      </c>
      <c r="B36">
        <v>78</v>
      </c>
    </row>
    <row r="37" spans="1:2" x14ac:dyDescent="0.35">
      <c r="A37">
        <v>117</v>
      </c>
      <c r="B37">
        <v>69</v>
      </c>
    </row>
    <row r="38" spans="1:2" x14ac:dyDescent="0.35">
      <c r="A38">
        <v>117</v>
      </c>
      <c r="B38">
        <v>79</v>
      </c>
    </row>
    <row r="39" spans="1:2" x14ac:dyDescent="0.35">
      <c r="A39">
        <v>118</v>
      </c>
      <c r="B39">
        <v>80</v>
      </c>
    </row>
    <row r="40" spans="1:2" x14ac:dyDescent="0.35">
      <c r="A40">
        <v>118</v>
      </c>
      <c r="B40">
        <v>81</v>
      </c>
    </row>
    <row r="41" spans="1:2" x14ac:dyDescent="0.35">
      <c r="A41">
        <v>119</v>
      </c>
      <c r="B41">
        <v>82</v>
      </c>
    </row>
    <row r="42" spans="1:2" x14ac:dyDescent="0.35">
      <c r="A42">
        <v>119</v>
      </c>
      <c r="B42">
        <v>83</v>
      </c>
    </row>
    <row r="43" spans="1:2" x14ac:dyDescent="0.35">
      <c r="A43">
        <v>120</v>
      </c>
      <c r="B43">
        <v>84</v>
      </c>
    </row>
    <row r="44" spans="1:2" x14ac:dyDescent="0.35">
      <c r="A44">
        <v>120</v>
      </c>
      <c r="B44">
        <v>85</v>
      </c>
    </row>
    <row r="45" spans="1:2" x14ac:dyDescent="0.35">
      <c r="A45">
        <v>121</v>
      </c>
      <c r="B45">
        <v>86</v>
      </c>
    </row>
    <row r="46" spans="1:2" x14ac:dyDescent="0.35">
      <c r="A46">
        <v>121</v>
      </c>
      <c r="B46">
        <v>87</v>
      </c>
    </row>
    <row r="47" spans="1:2" x14ac:dyDescent="0.35">
      <c r="A47">
        <v>122</v>
      </c>
      <c r="B47">
        <v>88</v>
      </c>
    </row>
    <row r="48" spans="1:2" x14ac:dyDescent="0.35">
      <c r="A48">
        <v>122</v>
      </c>
      <c r="B48">
        <v>89</v>
      </c>
    </row>
    <row r="49" spans="1:2" x14ac:dyDescent="0.35">
      <c r="A49">
        <v>123</v>
      </c>
      <c r="B49">
        <v>90</v>
      </c>
    </row>
    <row r="50" spans="1:2" x14ac:dyDescent="0.35">
      <c r="A50">
        <v>123</v>
      </c>
      <c r="B50">
        <v>91</v>
      </c>
    </row>
    <row r="51" spans="1:2" x14ac:dyDescent="0.35">
      <c r="A51">
        <v>124</v>
      </c>
      <c r="B51">
        <v>92</v>
      </c>
    </row>
    <row r="52" spans="1:2" x14ac:dyDescent="0.35">
      <c r="A52">
        <v>124</v>
      </c>
      <c r="B52">
        <v>93</v>
      </c>
    </row>
    <row r="53" spans="1:2" x14ac:dyDescent="0.35">
      <c r="A53">
        <v>125</v>
      </c>
      <c r="B53">
        <v>94</v>
      </c>
    </row>
    <row r="54" spans="1:2" x14ac:dyDescent="0.35">
      <c r="A54">
        <v>125</v>
      </c>
      <c r="B54">
        <v>95</v>
      </c>
    </row>
    <row r="55" spans="1:2" x14ac:dyDescent="0.35">
      <c r="A55">
        <v>125</v>
      </c>
      <c r="B55">
        <v>54</v>
      </c>
    </row>
    <row r="56" spans="1:2" x14ac:dyDescent="0.35">
      <c r="A56">
        <v>126</v>
      </c>
      <c r="B56">
        <v>94</v>
      </c>
    </row>
    <row r="57" spans="1:2" x14ac:dyDescent="0.35">
      <c r="A57">
        <v>126</v>
      </c>
      <c r="B57">
        <v>95</v>
      </c>
    </row>
    <row r="58" spans="1:2" x14ac:dyDescent="0.35">
      <c r="A58">
        <v>126</v>
      </c>
      <c r="B58">
        <v>54</v>
      </c>
    </row>
    <row r="59" spans="1:2" x14ac:dyDescent="0.35">
      <c r="A59">
        <v>127</v>
      </c>
      <c r="B59">
        <v>150</v>
      </c>
    </row>
    <row r="60" spans="1:2" x14ac:dyDescent="0.35">
      <c r="A60">
        <v>127</v>
      </c>
      <c r="B60">
        <v>151</v>
      </c>
    </row>
    <row r="61" spans="1:2" x14ac:dyDescent="0.35">
      <c r="A61">
        <v>128</v>
      </c>
      <c r="B61">
        <v>61</v>
      </c>
    </row>
    <row r="62" spans="1:2" x14ac:dyDescent="0.35">
      <c r="A62">
        <v>128</v>
      </c>
      <c r="B62">
        <v>152</v>
      </c>
    </row>
    <row r="63" spans="1:2" x14ac:dyDescent="0.35">
      <c r="A63">
        <v>129</v>
      </c>
      <c r="B63">
        <v>51</v>
      </c>
    </row>
    <row r="64" spans="1:2" x14ac:dyDescent="0.35">
      <c r="A64">
        <v>129</v>
      </c>
      <c r="B64">
        <v>153</v>
      </c>
    </row>
    <row r="65" spans="1:2" x14ac:dyDescent="0.35">
      <c r="A65">
        <v>130</v>
      </c>
      <c r="B65">
        <v>61</v>
      </c>
    </row>
    <row r="66" spans="1:2" x14ac:dyDescent="0.35">
      <c r="A66">
        <v>130</v>
      </c>
      <c r="B66">
        <v>154</v>
      </c>
    </row>
    <row r="67" spans="1:2" x14ac:dyDescent="0.35">
      <c r="A67">
        <v>131</v>
      </c>
      <c r="B67">
        <v>155</v>
      </c>
    </row>
    <row r="68" spans="1:2" x14ac:dyDescent="0.35">
      <c r="A68">
        <v>131</v>
      </c>
      <c r="B68">
        <v>154</v>
      </c>
    </row>
    <row r="69" spans="1:2" x14ac:dyDescent="0.35">
      <c r="A69">
        <v>132</v>
      </c>
      <c r="B69">
        <v>156</v>
      </c>
    </row>
    <row r="70" spans="1:2" x14ac:dyDescent="0.35">
      <c r="A70">
        <v>132</v>
      </c>
      <c r="B70">
        <v>157</v>
      </c>
    </row>
    <row r="71" spans="1:2" x14ac:dyDescent="0.35">
      <c r="A71">
        <v>133</v>
      </c>
      <c r="B71">
        <v>158</v>
      </c>
    </row>
    <row r="72" spans="1:2" x14ac:dyDescent="0.35">
      <c r="A72">
        <v>133</v>
      </c>
      <c r="B72">
        <v>159</v>
      </c>
    </row>
    <row r="73" spans="1:2" x14ac:dyDescent="0.35">
      <c r="A73">
        <v>134</v>
      </c>
      <c r="B73">
        <v>160</v>
      </c>
    </row>
    <row r="74" spans="1:2" x14ac:dyDescent="0.35">
      <c r="A74">
        <v>134</v>
      </c>
      <c r="B74">
        <v>161</v>
      </c>
    </row>
    <row r="75" spans="1:2" x14ac:dyDescent="0.35">
      <c r="A75">
        <v>135</v>
      </c>
      <c r="B75">
        <v>162</v>
      </c>
    </row>
    <row r="76" spans="1:2" x14ac:dyDescent="0.35">
      <c r="A76">
        <v>135</v>
      </c>
      <c r="B76">
        <v>163</v>
      </c>
    </row>
    <row r="77" spans="1:2" x14ac:dyDescent="0.35">
      <c r="A77">
        <v>136</v>
      </c>
      <c r="B77">
        <v>164</v>
      </c>
    </row>
    <row r="78" spans="1:2" x14ac:dyDescent="0.35">
      <c r="A78">
        <v>136</v>
      </c>
      <c r="B78">
        <v>165</v>
      </c>
    </row>
    <row r="79" spans="1:2" x14ac:dyDescent="0.35">
      <c r="A79">
        <v>137</v>
      </c>
      <c r="B79">
        <v>95</v>
      </c>
    </row>
    <row r="80" spans="1:2" x14ac:dyDescent="0.35">
      <c r="A80">
        <v>137</v>
      </c>
      <c r="B80">
        <v>166</v>
      </c>
    </row>
    <row r="81" spans="1:2" x14ac:dyDescent="0.35">
      <c r="A81">
        <v>138</v>
      </c>
      <c r="B81">
        <v>95</v>
      </c>
    </row>
    <row r="82" spans="1:2" x14ac:dyDescent="0.35">
      <c r="A82">
        <v>138</v>
      </c>
      <c r="B82">
        <v>167</v>
      </c>
    </row>
    <row r="83" spans="1:2" x14ac:dyDescent="0.35">
      <c r="A83">
        <v>139</v>
      </c>
      <c r="B83">
        <v>164</v>
      </c>
    </row>
    <row r="84" spans="1:2" x14ac:dyDescent="0.35">
      <c r="A84">
        <v>139</v>
      </c>
      <c r="B84">
        <v>168</v>
      </c>
    </row>
    <row r="85" spans="1:2" x14ac:dyDescent="0.35">
      <c r="A85">
        <v>140</v>
      </c>
      <c r="B85">
        <v>169</v>
      </c>
    </row>
    <row r="86" spans="1:2" x14ac:dyDescent="0.35">
      <c r="A86">
        <v>140</v>
      </c>
      <c r="B86">
        <v>170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F15D-C7E5-45CD-9337-3706D6E911A4}">
  <dimension ref="A1:B9"/>
  <sheetViews>
    <sheetView zoomScaleNormal="100" workbookViewId="0">
      <selection activeCell="B2" sqref="B2"/>
    </sheetView>
  </sheetViews>
  <sheetFormatPr defaultRowHeight="14.5" x14ac:dyDescent="0.35"/>
  <cols>
    <col min="1" max="1" width="10.81640625" bestFit="1" customWidth="1"/>
    <col min="2" max="2" width="14.08984375" bestFit="1" customWidth="1"/>
  </cols>
  <sheetData>
    <row r="1" spans="1:2" x14ac:dyDescent="0.35">
      <c r="A1" s="16" t="s">
        <v>5</v>
      </c>
      <c r="B1" s="16" t="s">
        <v>158</v>
      </c>
    </row>
    <row r="2" spans="1:2" x14ac:dyDescent="0.35">
      <c r="A2" s="3">
        <v>1</v>
      </c>
      <c r="B2" s="3" t="s">
        <v>105</v>
      </c>
    </row>
    <row r="3" spans="1:2" x14ac:dyDescent="0.35">
      <c r="A3" s="3">
        <v>2</v>
      </c>
      <c r="B3" s="3" t="s">
        <v>106</v>
      </c>
    </row>
    <row r="4" spans="1:2" x14ac:dyDescent="0.35">
      <c r="A4" s="3">
        <v>3</v>
      </c>
      <c r="B4" s="3" t="s">
        <v>107</v>
      </c>
    </row>
    <row r="5" spans="1:2" x14ac:dyDescent="0.35">
      <c r="A5" s="3">
        <v>4</v>
      </c>
      <c r="B5" s="3" t="s">
        <v>108</v>
      </c>
    </row>
    <row r="6" spans="1:2" x14ac:dyDescent="0.35">
      <c r="A6" s="3">
        <v>5</v>
      </c>
      <c r="B6" s="3" t="s">
        <v>109</v>
      </c>
    </row>
    <row r="7" spans="1:2" x14ac:dyDescent="0.35">
      <c r="A7" s="3">
        <v>6</v>
      </c>
      <c r="B7" s="3" t="s">
        <v>110</v>
      </c>
    </row>
    <row r="8" spans="1:2" x14ac:dyDescent="0.35">
      <c r="A8" s="3">
        <v>7</v>
      </c>
      <c r="B8" s="3" t="s">
        <v>111</v>
      </c>
    </row>
    <row r="9" spans="1:2" x14ac:dyDescent="0.35">
      <c r="A9" s="3">
        <v>8</v>
      </c>
      <c r="B9" s="3" t="s">
        <v>112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97aa2-77d1-4586-9726-07d56a535ee7" xsi:nil="true"/>
    <lcf76f155ced4ddcb4097134ff3c332f xmlns="631564f6-0349-4cc5-b00d-7cf3ba42f824">
      <Terms xmlns="http://schemas.microsoft.com/office/infopath/2007/PartnerControls"/>
    </lcf76f155ced4ddcb4097134ff3c332f>
    <MediaLengthInSeconds xmlns="631564f6-0349-4cc5-b00d-7cf3ba42f824" xsi:nil="true"/>
    <SharedWithUsers xmlns="46297aa2-77d1-4586-9726-07d56a535ee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FF9027-FBEF-4910-8EE6-13D64012C7E9}">
  <ds:schemaRefs>
    <ds:schemaRef ds:uri="http://schemas.microsoft.com/office/2006/metadata/properties"/>
    <ds:schemaRef ds:uri="http://schemas.microsoft.com/office/infopath/2007/PartnerControls"/>
    <ds:schemaRef ds:uri="46297aa2-77d1-4586-9726-07d56a535ee7"/>
    <ds:schemaRef ds:uri="631564f6-0349-4cc5-b00d-7cf3ba42f824"/>
  </ds:schemaRefs>
</ds:datastoreItem>
</file>

<file path=customXml/itemProps2.xml><?xml version="1.0" encoding="utf-8"?>
<ds:datastoreItem xmlns:ds="http://schemas.openxmlformats.org/officeDocument/2006/customXml" ds:itemID="{E6C97D6F-A515-40FC-959A-7BC863F10C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BA008F-2FD2-4901-8027-A024DA31C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movies</vt:lpstr>
      <vt:lpstr>financials</vt:lpstr>
      <vt:lpstr>actors</vt:lpstr>
      <vt:lpstr>movie_actor</vt:lpstr>
      <vt:lpstr>languages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Dhaval Patel</dc:creator>
  <cp:lastModifiedBy>Axiora User-28</cp:lastModifiedBy>
  <dcterms:created xsi:type="dcterms:W3CDTF">2015-06-05T18:17:20Z</dcterms:created>
  <dcterms:modified xsi:type="dcterms:W3CDTF">2026-03-16T11:24:36Z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0x010100686C0266E115364AA9B96DE5BECF7DB6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
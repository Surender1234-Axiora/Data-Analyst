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ra User-28\Downloads\Practice\"/>
    </mc:Choice>
  </mc:AlternateContent>
  <xr:revisionPtr revIDLastSave="0" documentId="13_ncr:1_{76297A55-7094-4C88-BD9D-8B2F35B53E17}" xr6:coauthVersionLast="47" xr6:coauthVersionMax="47" xr10:uidLastSave="{00000000-0000-0000-0000-000000000000}"/>
  <bookViews>
    <workbookView xWindow="-110" yWindow="-110" windowWidth="19420" windowHeight="10300" xr2:uid="{ADB4FD3C-C9D3-4F81-80E1-333BD75800CB}"/>
  </bookViews>
  <sheets>
    <sheet name="orders" sheetId="2" r:id="rId1"/>
    <sheet name="products" sheetId="1" r:id="rId2"/>
    <sheet name="customers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I2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</calcChain>
</file>

<file path=xl/sharedStrings.xml><?xml version="1.0" encoding="utf-8"?>
<sst xmlns="http://schemas.openxmlformats.org/spreadsheetml/2006/main" count="68" uniqueCount="55">
  <si>
    <t>order_id</t>
  </si>
  <si>
    <t>date</t>
  </si>
  <si>
    <t>customer_id</t>
  </si>
  <si>
    <t>product_id</t>
  </si>
  <si>
    <t>qty</t>
  </si>
  <si>
    <t>product_name</t>
  </si>
  <si>
    <t>calories</t>
  </si>
  <si>
    <t>protein</t>
  </si>
  <si>
    <t>carbs</t>
  </si>
  <si>
    <t>fat</t>
  </si>
  <si>
    <t xml:space="preserve">  Apple</t>
  </si>
  <si>
    <t>₹200</t>
  </si>
  <si>
    <t>Banana</t>
  </si>
  <si>
    <t>₹80</t>
  </si>
  <si>
    <t>Avocado</t>
  </si>
  <si>
    <t>₹100</t>
  </si>
  <si>
    <t>Broccoli</t>
  </si>
  <si>
    <t>₹30</t>
  </si>
  <si>
    <t>Chicken</t>
  </si>
  <si>
    <t>₹250</t>
  </si>
  <si>
    <t>Fish</t>
  </si>
  <si>
    <t>₹120</t>
  </si>
  <si>
    <t>Rice</t>
  </si>
  <si>
    <t>Pasta</t>
  </si>
  <si>
    <t>₹60</t>
  </si>
  <si>
    <t>Carrot</t>
  </si>
  <si>
    <t>₹40</t>
  </si>
  <si>
    <t>Celery</t>
  </si>
  <si>
    <t>₹50</t>
  </si>
  <si>
    <t xml:space="preserve">   Cheese</t>
  </si>
  <si>
    <t>Chocolate Cake</t>
  </si>
  <si>
    <t>Yogurt</t>
  </si>
  <si>
    <t xml:space="preserve"> Donut</t>
  </si>
  <si>
    <t>Eggs</t>
  </si>
  <si>
    <t>₹65</t>
  </si>
  <si>
    <t>French Fries</t>
  </si>
  <si>
    <t xml:space="preserve">      Grapefruit</t>
  </si>
  <si>
    <t>₹20</t>
  </si>
  <si>
    <t>Grape Juice</t>
  </si>
  <si>
    <t>Grilled Cheese</t>
  </si>
  <si>
    <t xml:space="preserve">          Hamburger</t>
  </si>
  <si>
    <t>₹70</t>
  </si>
  <si>
    <t>JaY</t>
  </si>
  <si>
    <t>johN</t>
  </si>
  <si>
    <t>TiM</t>
  </si>
  <si>
    <t>RavI</t>
  </si>
  <si>
    <t>Lisa</t>
  </si>
  <si>
    <t>ahmeD</t>
  </si>
  <si>
    <t>MiKe</t>
  </si>
  <si>
    <t>BRuce</t>
  </si>
  <si>
    <t>MahESh</t>
  </si>
  <si>
    <t>AnthoNY</t>
  </si>
  <si>
    <t>price (in INR)</t>
  </si>
  <si>
    <t>customer_name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</si>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</sst>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</cellXfs>
  <cellStyles count="1">
    <cellStyle name="Normal" xfId="0" builtinId="0"/>
  </cellStyles>
  <dxfs count="32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;[Red]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;[Red]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1ABE5-643D-4939-9FE2-19277109C76B}" name="orders" displayName="orders" ref="A1:I106" totalsRowShown="0" headerRowDxfId="31" dataDxfId="29" headerRowBorderDxfId="30" tableBorderDxfId="28" totalsRowBorderDxfId="27">
  <tableColumns count="9">
    <tableColumn id="1" xr3:uid="{E637DD82-5867-4120-82B7-564EDB606FFB}" name="order_id" dataDxfId="26"/>
    <tableColumn id="2" xr3:uid="{F1A125B6-CF20-48BE-953E-2C5DA10FEFAA}" name="date" dataDxfId="25"/>
    <tableColumn id="3" xr3:uid="{E03D5681-C661-4886-952B-8DFCA6D4A2D6}" name="customer_id" dataDxfId="24"/>
    <tableColumn id="4" xr3:uid="{38E65C09-171B-488B-B7F3-59854A07D30B}" name="product_id" dataDxfId="23"/>
    <tableColumn id="7" xr3:uid="{4CA81E9E-D711-4EBE-8E36-05D0190C1F84}" name="qty" dataDxfId="22"/>
    <tableColumn id="5" xr3:uid="{EF06A463-6BFD-4D2E-8B16-7B9C3E4AF848}" name="customer_name" dataDxfId="21">
      <calculatedColumnFormula>VLOOKUP(orders[[#All],[customer_id]],'customers'!A:B,2,0)</calculatedColumnFormula>
    </tableColumn>
    <tableColumn id="6" xr3:uid="{E53454FE-A95C-496A-9215-8E9C9F3E1A17}" name="product_name" dataDxfId="20">
      <calculatedColumnFormula>INDEX(products!A:G,MATCH(orders[[#This Row],[product_id]],products[[#All],[product_id]],0),MATCH("product_name",products[#Headers],0))</calculatedColumnFormula>
    </tableColumn>
    <tableColumn id="9" xr3:uid="{4DDFE979-533C-4929-B352-E822DC3FE40A}" name="price (in INR)" dataDxfId="1">
      <calculatedColumnFormula>VLOOKUP(orders[[#This Row],[product_id]],products!A:G,7,FALSE)</calculatedColumnFormula>
    </tableColumn>
    <tableColumn id="8" xr3:uid="{F8E36E6E-CF22-46DE-A566-B6E212E9D239}" name="total_price" dataDxfId="0">
      <calculatedColumnFormula>SUM(orders[[#This Row],[qty]]*orders[[#This Row],[price (in INR)]])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00A46-21AD-4BA4-AA4B-F4441FAE63A8}" name="products" displayName="products" ref="A1:G21" totalsRowShown="0" headerRowDxfId="19" dataDxfId="17" headerRowBorderDxfId="18" tableBorderDxfId="16" totalsRowBorderDxfId="15">
  <tableColumns count="7">
    <tableColumn id="1" xr3:uid="{2F724C30-FEC0-4CB7-9451-01ED9EB1EF4B}" name="product_id" dataDxfId="14"/>
    <tableColumn id="2" xr3:uid="{4C607F3C-2E8E-4343-85A9-21D39E43E2D4}" name="product_name" dataDxfId="13"/>
    <tableColumn id="3" xr3:uid="{605FB052-5970-4A75-8DD7-729A0164925E}" name="calories" dataDxfId="12"/>
    <tableColumn id="4" xr3:uid="{F87E52D5-D72E-4B4E-B030-CB58516ECB49}" name="protein" dataDxfId="11"/>
    <tableColumn id="5" xr3:uid="{6ABB720F-21C8-49C3-92B2-152A4BB7724C}" name="carbs" dataDxfId="10"/>
    <tableColumn id="6" xr3:uid="{5D9329AD-6A3A-4D86-A153-27C73CC1D6DD}" name="fat" dataDxfId="9"/>
    <tableColumn id="7" xr3:uid="{25EE7C65-B3E8-493D-900A-7541F75EF6F3}" name="price (in INR)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36194B-B49D-4BEE-852B-AE5A74AAB81F}" name="customers" displayName="customers" ref="A1:B11" totalsRowShown="0" headerRowDxfId="8" dataDxfId="7">
  <tableColumns count="2">
    <tableColumn id="1" xr3:uid="{CF8165CB-64B9-41FE-8DF6-84DD95AB7AF2}" name="customer_id" dataDxfId="6"/>
    <tableColumn id="2" xr3:uid="{BB28EDD7-691C-4F25-BA59-E0CAA20F0BFF}" name="customer_nam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A6EC-2F9D-4B0D-8C9F-FAC219293EBB}">
  <dimension ref="A1:I106"/>
  <sheetViews>
    <sheetView tabSelected="1" workbookViewId="0">
      <selection activeCell="F1" sqref="F1"/>
    </sheetView>
  </sheetViews>
  <sheetFormatPr defaultRowHeight="14.5" x14ac:dyDescent="0.35"/>
  <cols>
    <col min="1" max="1" width="19" style="2" customWidth="1"/>
    <col min="2" max="2" width="14.81640625" style="1" customWidth="1"/>
    <col min="3" max="3" width="13.453125" style="2" customWidth="1"/>
    <col min="4" max="4" width="13.453125" style="3" customWidth="1"/>
    <col min="5" max="5" width="13.453125" customWidth="1"/>
    <col min="6" max="6" width="14.54296875" bestFit="1" customWidth="1"/>
    <col min="7" max="7" width="13.26953125" bestFit="1" customWidth="1"/>
    <col min="8" max="8" width="11.54296875" bestFit="1" customWidth="1"/>
    <col min="9" max="9" width="9.90625" bestFit="1" customWidth="1"/>
  </cols>
  <sheetData>
    <row r="1" spans="1:9" x14ac:dyDescent="0.35">
      <c r="A1" s="8" t="s">
        <v>0</v>
      </c>
      <c r="B1" s="14" t="s">
        <v>1</v>
      </c>
      <c r="C1" s="15" t="s">
        <v>2</v>
      </c>
      <c r="D1" s="16" t="s">
        <v>3</v>
      </c>
      <c r="E1" s="17" t="s">
        <v>4</v>
      </c>
      <c r="F1" s="9" t="s">
        <v>53</v>
      </c>
      <c r="G1" s="9" t="s">
        <v>5</v>
      </c>
      <c r="H1" s="9" t="s">
        <v>52</v>
      </c>
      <c r="I1" s="15" t="s">
        <v>54</v>
      </c>
    </row>
    <row r="2" spans="1:9" x14ac:dyDescent="0.35">
      <c r="A2" s="6">
        <v>1125</v>
      </c>
      <c r="B2" s="18">
        <v>44958</v>
      </c>
      <c r="C2" s="6">
        <v>11</v>
      </c>
      <c r="D2" s="19">
        <v>704</v>
      </c>
      <c r="E2" s="7">
        <v>6</v>
      </c>
      <c r="F2" s="7" t="str">
        <f>VLOOKUP(orders[[#All],[customer_id]],'customers'!A:B,2,0)</f>
        <v>AnthoNY</v>
      </c>
      <c r="G2" s="7" t="str">
        <f>INDEX(products!A:G,MATCH(orders[[#This Row],[product_id]],products[[#All],[product_id]],0),MATCH("product_name",products[#Headers],0))</f>
        <v>Eggs</v>
      </c>
      <c r="H2" s="9" t="str">
        <f>VLOOKUP(orders[[#This Row],[product_id]],products!A:G,7,FALSE)</f>
        <v>₹65</v>
      </c>
      <c r="I2" s="21">
        <f>SUM(orders[[#This Row],[qty]]*orders[[#This Row],[price (in INR)]])</f>
        <v>390</v>
      </c>
    </row>
    <row r="3" spans="1:9" x14ac:dyDescent="0.35">
      <c r="A3" s="6">
        <v>1127</v>
      </c>
      <c r="B3" s="18">
        <v>44958</v>
      </c>
      <c r="C3" s="6">
        <v>19</v>
      </c>
      <c r="D3" s="19">
        <v>392</v>
      </c>
      <c r="E3" s="7">
        <v>2</v>
      </c>
      <c r="F3" s="7" t="str">
        <f>VLOOKUP(orders[[#All],[customer_id]],'customers'!A:B,2,0)</f>
        <v>ahmeD</v>
      </c>
      <c r="G3" s="7" t="str">
        <f>INDEX(products!A:G,MATCH(orders[[#This Row],[product_id]],products[[#All],[product_id]],0),MATCH("product_name",products[#Headers],0))</f>
        <v>Yogurt</v>
      </c>
      <c r="H3" s="7" t="str">
        <f>VLOOKUP(orders[[#This Row],[product_id]],products!A:G,7,FALSE)</f>
        <v>₹30</v>
      </c>
      <c r="I3" s="20">
        <f>SUM(orders[[#This Row],[qty]]*orders[[#This Row],[price (in INR)]])</f>
        <v>60</v>
      </c>
    </row>
    <row r="4" spans="1:9" x14ac:dyDescent="0.35">
      <c r="A4" s="6">
        <v>1152</v>
      </c>
      <c r="B4" s="18">
        <v>44958</v>
      </c>
      <c r="C4" s="6">
        <v>14</v>
      </c>
      <c r="D4" s="19">
        <v>646</v>
      </c>
      <c r="E4" s="7">
        <v>7</v>
      </c>
      <c r="F4" s="7" t="str">
        <f>VLOOKUP(orders[[#All],[customer_id]],'customers'!A:B,2,0)</f>
        <v>RavI</v>
      </c>
      <c r="G4" s="7" t="str">
        <f>INDEX(products!A:G,MATCH(orders[[#This Row],[product_id]],products[[#All],[product_id]],0),MATCH("product_name",products[#Headers],0))</f>
        <v xml:space="preserve">  Apple</v>
      </c>
      <c r="H4" s="7" t="str">
        <f>VLOOKUP(orders[[#This Row],[product_id]],products!A:G,7,FALSE)</f>
        <v>₹200</v>
      </c>
      <c r="I4" s="20">
        <f>SUM(orders[[#This Row],[qty]]*orders[[#This Row],[price (in INR)]])</f>
        <v>1400</v>
      </c>
    </row>
    <row r="5" spans="1:9" x14ac:dyDescent="0.35">
      <c r="A5" s="6">
        <v>1153</v>
      </c>
      <c r="B5" s="18">
        <v>44958</v>
      </c>
      <c r="C5" s="6">
        <v>35</v>
      </c>
      <c r="D5" s="19">
        <v>294</v>
      </c>
      <c r="E5" s="7">
        <v>9</v>
      </c>
      <c r="F5" s="7" t="str">
        <f>VLOOKUP(orders[[#All],[customer_id]],'customers'!A:B,2,0)</f>
        <v>MiKe</v>
      </c>
      <c r="G5" s="7" t="str">
        <f>INDEX(products!A:G,MATCH(orders[[#This Row],[product_id]],products[[#All],[product_id]],0),MATCH("product_name",products[#Headers],0))</f>
        <v>Rice</v>
      </c>
      <c r="H5" s="7" t="str">
        <f>VLOOKUP(orders[[#This Row],[product_id]],products!A:G,7,FALSE)</f>
        <v>₹80</v>
      </c>
      <c r="I5" s="20">
        <f>SUM(orders[[#This Row],[qty]]*orders[[#This Row],[price (in INR)]])</f>
        <v>720</v>
      </c>
    </row>
    <row r="6" spans="1:9" x14ac:dyDescent="0.35">
      <c r="A6" s="6">
        <v>1161</v>
      </c>
      <c r="B6" s="18">
        <v>44958</v>
      </c>
      <c r="C6" s="6">
        <v>35</v>
      </c>
      <c r="D6" s="19">
        <v>651</v>
      </c>
      <c r="E6" s="7">
        <v>6</v>
      </c>
      <c r="F6" s="7" t="str">
        <f>VLOOKUP(orders[[#All],[customer_id]],'customers'!A:B,2,0)</f>
        <v>MiKe</v>
      </c>
      <c r="G6" s="7" t="str">
        <f>INDEX(products!A:G,MATCH(orders[[#This Row],[product_id]],products[[#All],[product_id]],0),MATCH("product_name",products[#Headers],0))</f>
        <v>Banana</v>
      </c>
      <c r="H6" s="7" t="str">
        <f>VLOOKUP(orders[[#This Row],[product_id]],products!A:G,7,FALSE)</f>
        <v>₹80</v>
      </c>
      <c r="I6" s="20">
        <f>SUM(orders[[#This Row],[qty]]*orders[[#This Row],[price (in INR)]])</f>
        <v>480</v>
      </c>
    </row>
    <row r="7" spans="1:9" x14ac:dyDescent="0.35">
      <c r="A7" s="6">
        <v>1163</v>
      </c>
      <c r="B7" s="18">
        <v>44959</v>
      </c>
      <c r="C7" s="6">
        <v>50</v>
      </c>
      <c r="D7" s="19">
        <v>646</v>
      </c>
      <c r="E7" s="7">
        <v>4</v>
      </c>
      <c r="F7" s="7" t="str">
        <f>VLOOKUP(orders[[#All],[customer_id]],'customers'!A:B,2,0)</f>
        <v>BRuce</v>
      </c>
      <c r="G7" s="7" t="str">
        <f>INDEX(products!A:G,MATCH(orders[[#This Row],[product_id]],products[[#All],[product_id]],0),MATCH("product_name",products[#Headers],0))</f>
        <v xml:space="preserve">  Apple</v>
      </c>
      <c r="H7" s="7" t="str">
        <f>VLOOKUP(orders[[#This Row],[product_id]],products!A:G,7,FALSE)</f>
        <v>₹200</v>
      </c>
      <c r="I7" s="20">
        <f>SUM(orders[[#This Row],[qty]]*orders[[#This Row],[price (in INR)]])</f>
        <v>800</v>
      </c>
    </row>
    <row r="8" spans="1:9" x14ac:dyDescent="0.35">
      <c r="A8" s="6">
        <v>1167</v>
      </c>
      <c r="B8" s="18">
        <v>44959</v>
      </c>
      <c r="C8" s="6">
        <v>35</v>
      </c>
      <c r="D8" s="19">
        <v>739</v>
      </c>
      <c r="E8" s="7">
        <v>9</v>
      </c>
      <c r="F8" s="7" t="str">
        <f>VLOOKUP(orders[[#All],[customer_id]],'customers'!A:B,2,0)</f>
        <v>MiKe</v>
      </c>
      <c r="G8" s="7" t="str">
        <f>INDEX(products!A:G,MATCH(orders[[#This Row],[product_id]],products[[#All],[product_id]],0),MATCH("product_name",products[#Headers],0))</f>
        <v xml:space="preserve"> Donut</v>
      </c>
      <c r="H8" s="7" t="str">
        <f>VLOOKUP(orders[[#This Row],[product_id]],products!A:G,7,FALSE)</f>
        <v>₹40</v>
      </c>
      <c r="I8" s="20">
        <f>SUM(orders[[#This Row],[qty]]*orders[[#This Row],[price (in INR)]])</f>
        <v>360</v>
      </c>
    </row>
    <row r="9" spans="1:9" x14ac:dyDescent="0.35">
      <c r="A9" s="6">
        <v>1167</v>
      </c>
      <c r="B9" s="18">
        <v>44959</v>
      </c>
      <c r="C9" s="6">
        <v>35</v>
      </c>
      <c r="D9" s="19">
        <v>739</v>
      </c>
      <c r="E9" s="7">
        <v>8</v>
      </c>
      <c r="F9" s="7" t="str">
        <f>VLOOKUP(orders[[#All],[customer_id]],'customers'!A:B,2,0)</f>
        <v>MiKe</v>
      </c>
      <c r="G9" s="7" t="str">
        <f>INDEX(products!A:G,MATCH(orders[[#This Row],[product_id]],products[[#All],[product_id]],0),MATCH("product_name",products[#Headers],0))</f>
        <v xml:space="preserve"> Donut</v>
      </c>
      <c r="H9" s="7" t="str">
        <f>VLOOKUP(orders[[#This Row],[product_id]],products!A:G,7,FALSE)</f>
        <v>₹40</v>
      </c>
      <c r="I9" s="20">
        <f>SUM(orders[[#This Row],[qty]]*orders[[#This Row],[price (in INR)]])</f>
        <v>320</v>
      </c>
    </row>
    <row r="10" spans="1:9" x14ac:dyDescent="0.35">
      <c r="A10" s="6">
        <v>1176</v>
      </c>
      <c r="B10" s="18">
        <v>44959</v>
      </c>
      <c r="C10" s="6">
        <v>11</v>
      </c>
      <c r="D10" s="19">
        <v>628</v>
      </c>
      <c r="E10" s="7">
        <v>5</v>
      </c>
      <c r="F10" s="7" t="str">
        <f>VLOOKUP(orders[[#All],[customer_id]],'customers'!A:B,2,0)</f>
        <v>AnthoNY</v>
      </c>
      <c r="G10" s="7" t="str">
        <f>INDEX(products!A:G,MATCH(orders[[#This Row],[product_id]],products[[#All],[product_id]],0),MATCH("product_name",products[#Headers],0))</f>
        <v>Fish</v>
      </c>
      <c r="H10" s="7" t="str">
        <f>VLOOKUP(orders[[#This Row],[product_id]],products!A:G,7,FALSE)</f>
        <v>₹120</v>
      </c>
      <c r="I10" s="20">
        <f>SUM(orders[[#This Row],[qty]]*orders[[#This Row],[price (in INR)]])</f>
        <v>600</v>
      </c>
    </row>
    <row r="11" spans="1:9" x14ac:dyDescent="0.35">
      <c r="A11" s="6">
        <v>1183</v>
      </c>
      <c r="B11" s="18">
        <v>44959</v>
      </c>
      <c r="C11" s="6">
        <v>21</v>
      </c>
      <c r="D11" s="19">
        <v>163</v>
      </c>
      <c r="E11" s="7">
        <v>7</v>
      </c>
      <c r="F11" s="7" t="str">
        <f>VLOOKUP(orders[[#All],[customer_id]],'customers'!A:B,2,0)</f>
        <v>Lisa</v>
      </c>
      <c r="G11" s="7" t="str">
        <f>INDEX(products!A:G,MATCH(orders[[#This Row],[product_id]],products[[#All],[product_id]],0),MATCH("product_name",products[#Headers],0))</f>
        <v>Grape Juice</v>
      </c>
      <c r="H11" s="7" t="str">
        <f>VLOOKUP(orders[[#This Row],[product_id]],products!A:G,7,FALSE)</f>
        <v>₹40</v>
      </c>
      <c r="I11" s="20">
        <f>SUM(orders[[#This Row],[qty]]*orders[[#This Row],[price (in INR)]])</f>
        <v>280</v>
      </c>
    </row>
    <row r="12" spans="1:9" x14ac:dyDescent="0.35">
      <c r="A12" s="6">
        <v>1187</v>
      </c>
      <c r="B12" s="18">
        <v>44959</v>
      </c>
      <c r="C12" s="6">
        <v>19</v>
      </c>
      <c r="D12" s="19">
        <v>594</v>
      </c>
      <c r="E12" s="7">
        <v>6</v>
      </c>
      <c r="F12" s="7" t="str">
        <f>VLOOKUP(orders[[#All],[customer_id]],'customers'!A:B,2,0)</f>
        <v>ahmeD</v>
      </c>
      <c r="G12" s="7" t="str">
        <f>INDEX(products!A:G,MATCH(orders[[#This Row],[product_id]],products[[#All],[product_id]],0),MATCH("product_name",products[#Headers],0))</f>
        <v>Chicken</v>
      </c>
      <c r="H12" s="7" t="str">
        <f>VLOOKUP(orders[[#This Row],[product_id]],products!A:G,7,FALSE)</f>
        <v>₹250</v>
      </c>
      <c r="I12" s="20">
        <f>SUM(orders[[#This Row],[qty]]*orders[[#This Row],[price (in INR)]])</f>
        <v>1500</v>
      </c>
    </row>
    <row r="13" spans="1:9" x14ac:dyDescent="0.35">
      <c r="A13" s="6">
        <v>1193</v>
      </c>
      <c r="B13" s="18">
        <v>44960</v>
      </c>
      <c r="C13" s="6">
        <v>34</v>
      </c>
      <c r="D13" s="19">
        <v>651</v>
      </c>
      <c r="E13" s="7">
        <v>2</v>
      </c>
      <c r="F13" s="7" t="str">
        <f>VLOOKUP(orders[[#All],[customer_id]],'customers'!A:B,2,0)</f>
        <v>JaY</v>
      </c>
      <c r="G13" s="7" t="str">
        <f>INDEX(products!A:G,MATCH(orders[[#This Row],[product_id]],products[[#All],[product_id]],0),MATCH("product_name",products[#Headers],0))</f>
        <v>Banana</v>
      </c>
      <c r="H13" s="7" t="str">
        <f>VLOOKUP(orders[[#This Row],[product_id]],products!A:G,7,FALSE)</f>
        <v>₹80</v>
      </c>
      <c r="I13" s="20">
        <f>SUM(orders[[#This Row],[qty]]*orders[[#This Row],[price (in INR)]])</f>
        <v>160</v>
      </c>
    </row>
    <row r="14" spans="1:9" x14ac:dyDescent="0.35">
      <c r="A14" s="6">
        <v>1194</v>
      </c>
      <c r="B14" s="18">
        <v>44960</v>
      </c>
      <c r="C14" s="6">
        <v>11</v>
      </c>
      <c r="D14" s="19">
        <v>600</v>
      </c>
      <c r="E14" s="7">
        <v>9</v>
      </c>
      <c r="F14" s="7" t="str">
        <f>VLOOKUP(orders[[#All],[customer_id]],'customers'!A:B,2,0)</f>
        <v>AnthoNY</v>
      </c>
      <c r="G14" s="7" t="str">
        <f>INDEX(products!A:G,MATCH(orders[[#This Row],[product_id]],products[[#All],[product_id]],0),MATCH("product_name",products[#Headers],0))</f>
        <v xml:space="preserve">      Grapefruit</v>
      </c>
      <c r="H14" s="7" t="str">
        <f>VLOOKUP(orders[[#This Row],[product_id]],products!A:G,7,FALSE)</f>
        <v>₹20</v>
      </c>
      <c r="I14" s="20">
        <f>SUM(orders[[#This Row],[qty]]*orders[[#This Row],[price (in INR)]])</f>
        <v>180</v>
      </c>
    </row>
    <row r="15" spans="1:9" x14ac:dyDescent="0.35">
      <c r="A15" s="6">
        <v>1195</v>
      </c>
      <c r="B15" s="18">
        <v>44960</v>
      </c>
      <c r="C15" s="6">
        <v>29</v>
      </c>
      <c r="D15" s="19">
        <v>739</v>
      </c>
      <c r="E15" s="7">
        <v>3</v>
      </c>
      <c r="F15" s="7" t="str">
        <f>VLOOKUP(orders[[#All],[customer_id]],'customers'!A:B,2,0)</f>
        <v>johN</v>
      </c>
      <c r="G15" s="7" t="str">
        <f>INDEX(products!A:G,MATCH(orders[[#This Row],[product_id]],products[[#All],[product_id]],0),MATCH("product_name",products[#Headers],0))</f>
        <v xml:space="preserve"> Donut</v>
      </c>
      <c r="H15" s="7" t="str">
        <f>VLOOKUP(orders[[#This Row],[product_id]],products!A:G,7,FALSE)</f>
        <v>₹40</v>
      </c>
      <c r="I15" s="20">
        <f>SUM(orders[[#This Row],[qty]]*orders[[#This Row],[price (in INR)]])</f>
        <v>120</v>
      </c>
    </row>
    <row r="16" spans="1:9" x14ac:dyDescent="0.35">
      <c r="A16" s="6">
        <v>1199</v>
      </c>
      <c r="B16" s="18">
        <v>44960</v>
      </c>
      <c r="C16" s="6">
        <v>35</v>
      </c>
      <c r="D16" s="19">
        <v>797</v>
      </c>
      <c r="E16" s="7"/>
      <c r="F16" s="7" t="str">
        <f>VLOOKUP(orders[[#All],[customer_id]],'customers'!A:B,2,0)</f>
        <v>MiKe</v>
      </c>
      <c r="G16" s="7" t="str">
        <f>INDEX(products!A:G,MATCH(orders[[#This Row],[product_id]],products[[#All],[product_id]],0),MATCH("product_name",products[#Headers],0))</f>
        <v xml:space="preserve">   Cheese</v>
      </c>
      <c r="H16" s="7" t="str">
        <f>VLOOKUP(orders[[#This Row],[product_id]],products!A:G,7,FALSE)</f>
        <v>₹80</v>
      </c>
      <c r="I16" s="20">
        <f>SUM(orders[[#This Row],[qty]]*orders[[#This Row],[price (in INR)]])</f>
        <v>0</v>
      </c>
    </row>
    <row r="17" spans="1:9" x14ac:dyDescent="0.35">
      <c r="A17" s="6">
        <v>1200</v>
      </c>
      <c r="B17" s="18">
        <v>44960</v>
      </c>
      <c r="C17" s="6">
        <v>79</v>
      </c>
      <c r="D17" s="19">
        <v>521</v>
      </c>
      <c r="E17" s="7">
        <v>3</v>
      </c>
      <c r="F17" s="7" t="str">
        <f>VLOOKUP(orders[[#All],[customer_id]],'customers'!A:B,2,0)</f>
        <v>TiM</v>
      </c>
      <c r="G17" s="7" t="str">
        <f>INDEX(products!A:G,MATCH(orders[[#This Row],[product_id]],products[[#All],[product_id]],0),MATCH("product_name",products[#Headers],0))</f>
        <v>Carrot</v>
      </c>
      <c r="H17" s="7" t="str">
        <f>VLOOKUP(orders[[#This Row],[product_id]],products!A:G,7,FALSE)</f>
        <v>₹40</v>
      </c>
      <c r="I17" s="20">
        <f>SUM(orders[[#This Row],[qty]]*orders[[#This Row],[price (in INR)]])</f>
        <v>120</v>
      </c>
    </row>
    <row r="18" spans="1:9" x14ac:dyDescent="0.35">
      <c r="A18" s="6">
        <v>1206</v>
      </c>
      <c r="B18" s="18">
        <v>44961</v>
      </c>
      <c r="C18" s="6">
        <v>11</v>
      </c>
      <c r="D18" s="19">
        <v>886</v>
      </c>
      <c r="E18" s="7"/>
      <c r="F18" s="7" t="str">
        <f>VLOOKUP(orders[[#All],[customer_id]],'customers'!A:B,2,0)</f>
        <v>AnthoNY</v>
      </c>
      <c r="G18" s="7" t="str">
        <f>INDEX(products!A:G,MATCH(orders[[#This Row],[product_id]],products[[#All],[product_id]],0),MATCH("product_name",products[#Headers],0))</f>
        <v>Avocado</v>
      </c>
      <c r="H18" s="7" t="str">
        <f>VLOOKUP(orders[[#This Row],[product_id]],products!A:G,7,FALSE)</f>
        <v>₹100</v>
      </c>
      <c r="I18" s="20">
        <f>SUM(orders[[#This Row],[qty]]*orders[[#This Row],[price (in INR)]])</f>
        <v>0</v>
      </c>
    </row>
    <row r="19" spans="1:9" x14ac:dyDescent="0.35">
      <c r="A19" s="6">
        <v>1211</v>
      </c>
      <c r="B19" s="18">
        <v>44961</v>
      </c>
      <c r="C19" s="6">
        <v>79</v>
      </c>
      <c r="D19" s="19">
        <v>646</v>
      </c>
      <c r="E19" s="7">
        <v>7</v>
      </c>
      <c r="F19" s="7" t="str">
        <f>VLOOKUP(orders[[#All],[customer_id]],'customers'!A:B,2,0)</f>
        <v>TiM</v>
      </c>
      <c r="G19" s="7" t="str">
        <f>INDEX(products!A:G,MATCH(orders[[#This Row],[product_id]],products[[#All],[product_id]],0),MATCH("product_name",products[#Headers],0))</f>
        <v xml:space="preserve">  Apple</v>
      </c>
      <c r="H19" s="7" t="str">
        <f>VLOOKUP(orders[[#This Row],[product_id]],products!A:G,7,FALSE)</f>
        <v>₹200</v>
      </c>
      <c r="I19" s="20">
        <f>SUM(orders[[#This Row],[qty]]*orders[[#This Row],[price (in INR)]])</f>
        <v>1400</v>
      </c>
    </row>
    <row r="20" spans="1:9" x14ac:dyDescent="0.35">
      <c r="A20" s="6">
        <v>1213</v>
      </c>
      <c r="B20" s="18">
        <v>44961</v>
      </c>
      <c r="C20" s="6">
        <v>29</v>
      </c>
      <c r="D20" s="19">
        <v>328</v>
      </c>
      <c r="E20" s="7">
        <v>10</v>
      </c>
      <c r="F20" s="7" t="str">
        <f>VLOOKUP(orders[[#All],[customer_id]],'customers'!A:B,2,0)</f>
        <v>johN</v>
      </c>
      <c r="G20" s="7" t="str">
        <f>INDEX(products!A:G,MATCH(orders[[#This Row],[product_id]],products[[#All],[product_id]],0),MATCH("product_name",products[#Headers],0))</f>
        <v>Pasta</v>
      </c>
      <c r="H20" s="7" t="str">
        <f>VLOOKUP(orders[[#This Row],[product_id]],products!A:G,7,FALSE)</f>
        <v>₹60</v>
      </c>
      <c r="I20" s="20">
        <f>SUM(orders[[#This Row],[qty]]*orders[[#This Row],[price (in INR)]])</f>
        <v>600</v>
      </c>
    </row>
    <row r="21" spans="1:9" x14ac:dyDescent="0.35">
      <c r="A21" s="6">
        <v>1215</v>
      </c>
      <c r="B21" s="18">
        <v>44961</v>
      </c>
      <c r="C21" s="6">
        <v>21</v>
      </c>
      <c r="D21" s="19">
        <v>811</v>
      </c>
      <c r="E21" s="7">
        <v>3</v>
      </c>
      <c r="F21" s="7" t="str">
        <f>VLOOKUP(orders[[#All],[customer_id]],'customers'!A:B,2,0)</f>
        <v>Lisa</v>
      </c>
      <c r="G21" s="7" t="str">
        <f>INDEX(products!A:G,MATCH(orders[[#This Row],[product_id]],products[[#All],[product_id]],0),MATCH("product_name",products[#Headers],0))</f>
        <v>Celery</v>
      </c>
      <c r="H21" s="7" t="str">
        <f>VLOOKUP(orders[[#This Row],[product_id]],products!A:G,7,FALSE)</f>
        <v>₹50</v>
      </c>
      <c r="I21" s="20">
        <f>SUM(orders[[#This Row],[qty]]*orders[[#This Row],[price (in INR)]])</f>
        <v>150</v>
      </c>
    </row>
    <row r="22" spans="1:9" x14ac:dyDescent="0.35">
      <c r="A22" s="6">
        <v>1227</v>
      </c>
      <c r="B22" s="18">
        <v>44961</v>
      </c>
      <c r="C22" s="6">
        <v>50</v>
      </c>
      <c r="D22" s="19">
        <v>704</v>
      </c>
      <c r="E22" s="7">
        <v>5</v>
      </c>
      <c r="F22" s="7" t="str">
        <f>VLOOKUP(orders[[#All],[customer_id]],'customers'!A:B,2,0)</f>
        <v>BRuce</v>
      </c>
      <c r="G22" s="7" t="str">
        <f>INDEX(products!A:G,MATCH(orders[[#This Row],[product_id]],products[[#All],[product_id]],0),MATCH("product_name",products[#Headers],0))</f>
        <v>Eggs</v>
      </c>
      <c r="H22" s="7" t="str">
        <f>VLOOKUP(orders[[#This Row],[product_id]],products!A:G,7,FALSE)</f>
        <v>₹65</v>
      </c>
      <c r="I22" s="20">
        <f>SUM(orders[[#This Row],[qty]]*orders[[#This Row],[price (in INR)]])</f>
        <v>325</v>
      </c>
    </row>
    <row r="23" spans="1:9" x14ac:dyDescent="0.35">
      <c r="A23" s="6">
        <v>1233</v>
      </c>
      <c r="B23" s="18">
        <v>44962</v>
      </c>
      <c r="C23" s="6">
        <v>79</v>
      </c>
      <c r="D23" s="19">
        <v>328</v>
      </c>
      <c r="E23" s="7">
        <v>10</v>
      </c>
      <c r="F23" s="7" t="str">
        <f>VLOOKUP(orders[[#All],[customer_id]],'customers'!A:B,2,0)</f>
        <v>TiM</v>
      </c>
      <c r="G23" s="7" t="str">
        <f>INDEX(products!A:G,MATCH(orders[[#This Row],[product_id]],products[[#All],[product_id]],0),MATCH("product_name",products[#Headers],0))</f>
        <v>Pasta</v>
      </c>
      <c r="H23" s="7" t="str">
        <f>VLOOKUP(orders[[#This Row],[product_id]],products!A:G,7,FALSE)</f>
        <v>₹60</v>
      </c>
      <c r="I23" s="20">
        <f>SUM(orders[[#This Row],[qty]]*orders[[#This Row],[price (in INR)]])</f>
        <v>600</v>
      </c>
    </row>
    <row r="24" spans="1:9" x14ac:dyDescent="0.35">
      <c r="A24" s="6">
        <v>1235</v>
      </c>
      <c r="B24" s="18">
        <v>44962</v>
      </c>
      <c r="C24" s="6">
        <v>14</v>
      </c>
      <c r="D24" s="19">
        <v>163</v>
      </c>
      <c r="E24" s="7">
        <v>10</v>
      </c>
      <c r="F24" s="7" t="str">
        <f>VLOOKUP(orders[[#All],[customer_id]],'customers'!A:B,2,0)</f>
        <v>RavI</v>
      </c>
      <c r="G24" s="7" t="str">
        <f>INDEX(products!A:G,MATCH(orders[[#This Row],[product_id]],products[[#All],[product_id]],0),MATCH("product_name",products[#Headers],0))</f>
        <v>Grape Juice</v>
      </c>
      <c r="H24" s="7" t="str">
        <f>VLOOKUP(orders[[#This Row],[product_id]],products!A:G,7,FALSE)</f>
        <v>₹40</v>
      </c>
      <c r="I24" s="20">
        <f>SUM(orders[[#This Row],[qty]]*orders[[#This Row],[price (in INR)]])</f>
        <v>400</v>
      </c>
    </row>
    <row r="25" spans="1:9" x14ac:dyDescent="0.35">
      <c r="A25" s="6">
        <v>1255</v>
      </c>
      <c r="B25" s="18">
        <v>44962</v>
      </c>
      <c r="C25" s="6">
        <v>50</v>
      </c>
      <c r="D25" s="19">
        <v>521</v>
      </c>
      <c r="E25" s="7">
        <v>2</v>
      </c>
      <c r="F25" s="7" t="str">
        <f>VLOOKUP(orders[[#All],[customer_id]],'customers'!A:B,2,0)</f>
        <v>BRuce</v>
      </c>
      <c r="G25" s="7" t="str">
        <f>INDEX(products!A:G,MATCH(orders[[#This Row],[product_id]],products[[#All],[product_id]],0),MATCH("product_name",products[#Headers],0))</f>
        <v>Carrot</v>
      </c>
      <c r="H25" s="7" t="str">
        <f>VLOOKUP(orders[[#This Row],[product_id]],products!A:G,7,FALSE)</f>
        <v>₹40</v>
      </c>
      <c r="I25" s="20">
        <f>SUM(orders[[#This Row],[qty]]*orders[[#This Row],[price (in INR)]])</f>
        <v>80</v>
      </c>
    </row>
    <row r="26" spans="1:9" x14ac:dyDescent="0.35">
      <c r="A26" s="6">
        <v>1257</v>
      </c>
      <c r="B26" s="18">
        <v>44962</v>
      </c>
      <c r="C26" s="6">
        <v>11</v>
      </c>
      <c r="D26" s="19">
        <v>590</v>
      </c>
      <c r="E26" s="7">
        <v>8</v>
      </c>
      <c r="F26" s="7" t="str">
        <f>VLOOKUP(orders[[#All],[customer_id]],'customers'!A:B,2,0)</f>
        <v>AnthoNY</v>
      </c>
      <c r="G26" s="7" t="str">
        <f>INDEX(products!A:G,MATCH(orders[[#This Row],[product_id]],products[[#All],[product_id]],0),MATCH("product_name",products[#Headers],0))</f>
        <v>French Fries</v>
      </c>
      <c r="H26" s="7" t="str">
        <f>VLOOKUP(orders[[#This Row],[product_id]],products!A:G,7,FALSE)</f>
        <v>₹50</v>
      </c>
      <c r="I26" s="20">
        <f>SUM(orders[[#This Row],[qty]]*orders[[#This Row],[price (in INR)]])</f>
        <v>400</v>
      </c>
    </row>
    <row r="27" spans="1:9" x14ac:dyDescent="0.35">
      <c r="A27" s="6">
        <v>1258</v>
      </c>
      <c r="B27" s="18">
        <v>44962</v>
      </c>
      <c r="C27" s="6">
        <v>34</v>
      </c>
      <c r="D27" s="19">
        <v>704</v>
      </c>
      <c r="E27" s="7">
        <v>4</v>
      </c>
      <c r="F27" s="7" t="str">
        <f>VLOOKUP(orders[[#All],[customer_id]],'customers'!A:B,2,0)</f>
        <v>JaY</v>
      </c>
      <c r="G27" s="7" t="str">
        <f>INDEX(products!A:G,MATCH(orders[[#This Row],[product_id]],products[[#All],[product_id]],0),MATCH("product_name",products[#Headers],0))</f>
        <v>Eggs</v>
      </c>
      <c r="H27" s="7" t="str">
        <f>VLOOKUP(orders[[#This Row],[product_id]],products!A:G,7,FALSE)</f>
        <v>₹65</v>
      </c>
      <c r="I27" s="20">
        <f>SUM(orders[[#This Row],[qty]]*orders[[#This Row],[price (in INR)]])</f>
        <v>260</v>
      </c>
    </row>
    <row r="28" spans="1:9" x14ac:dyDescent="0.35">
      <c r="A28" s="6">
        <v>1273</v>
      </c>
      <c r="B28" s="18">
        <v>44963</v>
      </c>
      <c r="C28" s="6">
        <v>50</v>
      </c>
      <c r="D28" s="19">
        <v>886</v>
      </c>
      <c r="E28" s="7">
        <v>3</v>
      </c>
      <c r="F28" s="7" t="str">
        <f>VLOOKUP(orders[[#All],[customer_id]],'customers'!A:B,2,0)</f>
        <v>BRuce</v>
      </c>
      <c r="G28" s="7" t="str">
        <f>INDEX(products!A:G,MATCH(orders[[#This Row],[product_id]],products[[#All],[product_id]],0),MATCH("product_name",products[#Headers],0))</f>
        <v>Avocado</v>
      </c>
      <c r="H28" s="7" t="str">
        <f>VLOOKUP(orders[[#This Row],[product_id]],products!A:G,7,FALSE)</f>
        <v>₹100</v>
      </c>
      <c r="I28" s="20">
        <f>SUM(orders[[#This Row],[qty]]*orders[[#This Row],[price (in INR)]])</f>
        <v>300</v>
      </c>
    </row>
    <row r="29" spans="1:9" x14ac:dyDescent="0.35">
      <c r="A29" s="6">
        <v>1277</v>
      </c>
      <c r="B29" s="18">
        <v>44963</v>
      </c>
      <c r="C29" s="6">
        <v>34</v>
      </c>
      <c r="D29" s="19">
        <v>704</v>
      </c>
      <c r="E29" s="7">
        <v>6</v>
      </c>
      <c r="F29" s="7" t="str">
        <f>VLOOKUP(orders[[#All],[customer_id]],'customers'!A:B,2,0)</f>
        <v>JaY</v>
      </c>
      <c r="G29" s="7" t="str">
        <f>INDEX(products!A:G,MATCH(orders[[#This Row],[product_id]],products[[#All],[product_id]],0),MATCH("product_name",products[#Headers],0))</f>
        <v>Eggs</v>
      </c>
      <c r="H29" s="7" t="str">
        <f>VLOOKUP(orders[[#This Row],[product_id]],products!A:G,7,FALSE)</f>
        <v>₹65</v>
      </c>
      <c r="I29" s="20">
        <f>SUM(orders[[#This Row],[qty]]*orders[[#This Row],[price (in INR)]])</f>
        <v>390</v>
      </c>
    </row>
    <row r="30" spans="1:9" x14ac:dyDescent="0.35">
      <c r="A30" s="6">
        <v>1289</v>
      </c>
      <c r="B30" s="18">
        <v>44963</v>
      </c>
      <c r="C30" s="6">
        <v>19</v>
      </c>
      <c r="D30" s="19">
        <v>811</v>
      </c>
      <c r="E30" s="7">
        <v>6</v>
      </c>
      <c r="F30" s="7" t="str">
        <f>VLOOKUP(orders[[#All],[customer_id]],'customers'!A:B,2,0)</f>
        <v>ahmeD</v>
      </c>
      <c r="G30" s="7" t="str">
        <f>INDEX(products!A:G,MATCH(orders[[#This Row],[product_id]],products[[#All],[product_id]],0),MATCH("product_name",products[#Headers],0))</f>
        <v>Celery</v>
      </c>
      <c r="H30" s="7" t="str">
        <f>VLOOKUP(orders[[#This Row],[product_id]],products!A:G,7,FALSE)</f>
        <v>₹50</v>
      </c>
      <c r="I30" s="20">
        <f>SUM(orders[[#This Row],[qty]]*orders[[#This Row],[price (in INR)]])</f>
        <v>300</v>
      </c>
    </row>
    <row r="31" spans="1:9" x14ac:dyDescent="0.35">
      <c r="A31" s="6">
        <v>1290</v>
      </c>
      <c r="B31" s="18">
        <v>44963</v>
      </c>
      <c r="C31" s="6">
        <v>35</v>
      </c>
      <c r="D31" s="19">
        <v>600</v>
      </c>
      <c r="E31" s="7">
        <v>5</v>
      </c>
      <c r="F31" s="7" t="str">
        <f>VLOOKUP(orders[[#All],[customer_id]],'customers'!A:B,2,0)</f>
        <v>MiKe</v>
      </c>
      <c r="G31" s="7" t="str">
        <f>INDEX(products!A:G,MATCH(orders[[#This Row],[product_id]],products[[#All],[product_id]],0),MATCH("product_name",products[#Headers],0))</f>
        <v xml:space="preserve">      Grapefruit</v>
      </c>
      <c r="H31" s="7" t="str">
        <f>VLOOKUP(orders[[#This Row],[product_id]],products!A:G,7,FALSE)</f>
        <v>₹20</v>
      </c>
      <c r="I31" s="20">
        <f>SUM(orders[[#This Row],[qty]]*orders[[#This Row],[price (in INR)]])</f>
        <v>100</v>
      </c>
    </row>
    <row r="32" spans="1:9" x14ac:dyDescent="0.35">
      <c r="A32" s="6">
        <v>1292</v>
      </c>
      <c r="B32" s="18">
        <v>44963</v>
      </c>
      <c r="C32" s="6">
        <v>14</v>
      </c>
      <c r="D32" s="19">
        <v>804</v>
      </c>
      <c r="E32" s="7">
        <v>2</v>
      </c>
      <c r="F32" s="7" t="str">
        <f>VLOOKUP(orders[[#All],[customer_id]],'customers'!A:B,2,0)</f>
        <v>RavI</v>
      </c>
      <c r="G32" s="7" t="str">
        <f>INDEX(products!A:G,MATCH(orders[[#This Row],[product_id]],products[[#All],[product_id]],0),MATCH("product_name",products[#Headers],0))</f>
        <v>Broccoli</v>
      </c>
      <c r="H32" s="7" t="str">
        <f>VLOOKUP(orders[[#This Row],[product_id]],products!A:G,7,FALSE)</f>
        <v>₹30</v>
      </c>
      <c r="I32" s="20">
        <f>SUM(orders[[#This Row],[qty]]*orders[[#This Row],[price (in INR)]])</f>
        <v>60</v>
      </c>
    </row>
    <row r="33" spans="1:9" x14ac:dyDescent="0.35">
      <c r="A33" s="6">
        <v>1294</v>
      </c>
      <c r="B33" s="18">
        <v>44964</v>
      </c>
      <c r="C33" s="6">
        <v>19</v>
      </c>
      <c r="D33" s="19">
        <v>651</v>
      </c>
      <c r="E33" s="7">
        <v>3</v>
      </c>
      <c r="F33" s="7" t="str">
        <f>VLOOKUP(orders[[#All],[customer_id]],'customers'!A:B,2,0)</f>
        <v>ahmeD</v>
      </c>
      <c r="G33" s="7" t="str">
        <f>INDEX(products!A:G,MATCH(orders[[#This Row],[product_id]],products[[#All],[product_id]],0),MATCH("product_name",products[#Headers],0))</f>
        <v>Banana</v>
      </c>
      <c r="H33" s="7" t="str">
        <f>VLOOKUP(orders[[#This Row],[product_id]],products!A:G,7,FALSE)</f>
        <v>₹80</v>
      </c>
      <c r="I33" s="20">
        <f>SUM(orders[[#This Row],[qty]]*orders[[#This Row],[price (in INR)]])</f>
        <v>240</v>
      </c>
    </row>
    <row r="34" spans="1:9" x14ac:dyDescent="0.35">
      <c r="A34" s="6">
        <v>1295</v>
      </c>
      <c r="B34" s="18">
        <v>44964</v>
      </c>
      <c r="C34" s="6">
        <v>14</v>
      </c>
      <c r="D34" s="19">
        <v>521</v>
      </c>
      <c r="E34" s="7">
        <v>4</v>
      </c>
      <c r="F34" s="7" t="str">
        <f>VLOOKUP(orders[[#All],[customer_id]],'customers'!A:B,2,0)</f>
        <v>RavI</v>
      </c>
      <c r="G34" s="7" t="str">
        <f>INDEX(products!A:G,MATCH(orders[[#This Row],[product_id]],products[[#All],[product_id]],0),MATCH("product_name",products[#Headers],0))</f>
        <v>Carrot</v>
      </c>
      <c r="H34" s="7" t="str">
        <f>VLOOKUP(orders[[#This Row],[product_id]],products!A:G,7,FALSE)</f>
        <v>₹40</v>
      </c>
      <c r="I34" s="20">
        <f>SUM(orders[[#This Row],[qty]]*orders[[#This Row],[price (in INR)]])</f>
        <v>160</v>
      </c>
    </row>
    <row r="35" spans="1:9" x14ac:dyDescent="0.35">
      <c r="A35" s="6">
        <v>1297</v>
      </c>
      <c r="B35" s="18">
        <v>44964</v>
      </c>
      <c r="C35" s="6">
        <v>35</v>
      </c>
      <c r="D35" s="19">
        <v>628</v>
      </c>
      <c r="E35" s="7">
        <v>9</v>
      </c>
      <c r="F35" s="7" t="str">
        <f>VLOOKUP(orders[[#All],[customer_id]],'customers'!A:B,2,0)</f>
        <v>MiKe</v>
      </c>
      <c r="G35" s="7" t="str">
        <f>INDEX(products!A:G,MATCH(orders[[#This Row],[product_id]],products[[#All],[product_id]],0),MATCH("product_name",products[#Headers],0))</f>
        <v>Fish</v>
      </c>
      <c r="H35" s="7" t="str">
        <f>VLOOKUP(orders[[#This Row],[product_id]],products!A:G,7,FALSE)</f>
        <v>₹120</v>
      </c>
      <c r="I35" s="20">
        <f>SUM(orders[[#This Row],[qty]]*orders[[#This Row],[price (in INR)]])</f>
        <v>1080</v>
      </c>
    </row>
    <row r="36" spans="1:9" x14ac:dyDescent="0.35">
      <c r="A36" s="6">
        <v>1297</v>
      </c>
      <c r="B36" s="18">
        <v>44964</v>
      </c>
      <c r="C36" s="6">
        <v>35</v>
      </c>
      <c r="D36" s="19">
        <v>628</v>
      </c>
      <c r="E36" s="7">
        <v>3</v>
      </c>
      <c r="F36" s="7" t="str">
        <f>VLOOKUP(orders[[#All],[customer_id]],'customers'!A:B,2,0)</f>
        <v>MiKe</v>
      </c>
      <c r="G36" s="7" t="str">
        <f>INDEX(products!A:G,MATCH(orders[[#This Row],[product_id]],products[[#All],[product_id]],0),MATCH("product_name",products[#Headers],0))</f>
        <v>Fish</v>
      </c>
      <c r="H36" s="7" t="str">
        <f>VLOOKUP(orders[[#This Row],[product_id]],products!A:G,7,FALSE)</f>
        <v>₹120</v>
      </c>
      <c r="I36" s="20">
        <f>SUM(orders[[#This Row],[qty]]*orders[[#This Row],[price (in INR)]])</f>
        <v>360</v>
      </c>
    </row>
    <row r="37" spans="1:9" x14ac:dyDescent="0.35">
      <c r="A37" s="6">
        <v>1300</v>
      </c>
      <c r="B37" s="18">
        <v>44964</v>
      </c>
      <c r="C37" s="6">
        <v>35</v>
      </c>
      <c r="D37" s="19">
        <v>797</v>
      </c>
      <c r="E37" s="7">
        <v>4</v>
      </c>
      <c r="F37" s="7" t="str">
        <f>VLOOKUP(orders[[#All],[customer_id]],'customers'!A:B,2,0)</f>
        <v>MiKe</v>
      </c>
      <c r="G37" s="7" t="str">
        <f>INDEX(products!A:G,MATCH(orders[[#This Row],[product_id]],products[[#All],[product_id]],0),MATCH("product_name",products[#Headers],0))</f>
        <v xml:space="preserve">   Cheese</v>
      </c>
      <c r="H37" s="7" t="str">
        <f>VLOOKUP(orders[[#This Row],[product_id]],products!A:G,7,FALSE)</f>
        <v>₹80</v>
      </c>
      <c r="I37" s="20">
        <f>SUM(orders[[#This Row],[qty]]*orders[[#This Row],[price (in INR)]])</f>
        <v>320</v>
      </c>
    </row>
    <row r="38" spans="1:9" x14ac:dyDescent="0.35">
      <c r="A38" s="6">
        <v>1302</v>
      </c>
      <c r="B38" s="18">
        <v>44964</v>
      </c>
      <c r="C38" s="6">
        <v>34</v>
      </c>
      <c r="D38" s="19">
        <v>328</v>
      </c>
      <c r="E38" s="7">
        <v>3</v>
      </c>
      <c r="F38" s="7" t="str">
        <f>VLOOKUP(orders[[#All],[customer_id]],'customers'!A:B,2,0)</f>
        <v>JaY</v>
      </c>
      <c r="G38" s="7" t="str">
        <f>INDEX(products!A:G,MATCH(orders[[#This Row],[product_id]],products[[#All],[product_id]],0),MATCH("product_name",products[#Headers],0))</f>
        <v>Pasta</v>
      </c>
      <c r="H38" s="7" t="str">
        <f>VLOOKUP(orders[[#This Row],[product_id]],products!A:G,7,FALSE)</f>
        <v>₹60</v>
      </c>
      <c r="I38" s="20">
        <f>SUM(orders[[#This Row],[qty]]*orders[[#This Row],[price (in INR)]])</f>
        <v>180</v>
      </c>
    </row>
    <row r="39" spans="1:9" x14ac:dyDescent="0.35">
      <c r="A39" s="6">
        <v>1309</v>
      </c>
      <c r="B39" s="18">
        <v>44965</v>
      </c>
      <c r="C39" s="6">
        <v>34</v>
      </c>
      <c r="D39" s="19">
        <v>163</v>
      </c>
      <c r="E39" s="7"/>
      <c r="F39" s="7" t="str">
        <f>VLOOKUP(orders[[#All],[customer_id]],'customers'!A:B,2,0)</f>
        <v>JaY</v>
      </c>
      <c r="G39" s="7" t="str">
        <f>INDEX(products!A:G,MATCH(orders[[#This Row],[product_id]],products[[#All],[product_id]],0),MATCH("product_name",products[#Headers],0))</f>
        <v>Grape Juice</v>
      </c>
      <c r="H39" s="7" t="str">
        <f>VLOOKUP(orders[[#This Row],[product_id]],products!A:G,7,FALSE)</f>
        <v>₹40</v>
      </c>
      <c r="I39" s="20">
        <f>SUM(orders[[#This Row],[qty]]*orders[[#This Row],[price (in INR)]])</f>
        <v>0</v>
      </c>
    </row>
    <row r="40" spans="1:9" x14ac:dyDescent="0.35">
      <c r="A40" s="6">
        <v>1310</v>
      </c>
      <c r="B40" s="18">
        <v>44965</v>
      </c>
      <c r="C40" s="6">
        <v>79</v>
      </c>
      <c r="D40" s="19">
        <v>484</v>
      </c>
      <c r="E40" s="7">
        <v>3</v>
      </c>
      <c r="F40" s="7" t="str">
        <f>VLOOKUP(orders[[#All],[customer_id]],'customers'!A:B,2,0)</f>
        <v>TiM</v>
      </c>
      <c r="G40" s="7" t="str">
        <f>INDEX(products!A:G,MATCH(orders[[#This Row],[product_id]],products[[#All],[product_id]],0),MATCH("product_name",products[#Headers],0))</f>
        <v xml:space="preserve">          Hamburger</v>
      </c>
      <c r="H40" s="7" t="str">
        <f>VLOOKUP(orders[[#This Row],[product_id]],products!A:G,7,FALSE)</f>
        <v>₹70</v>
      </c>
      <c r="I40" s="20">
        <f>SUM(orders[[#This Row],[qty]]*orders[[#This Row],[price (in INR)]])</f>
        <v>210</v>
      </c>
    </row>
    <row r="41" spans="1:9" x14ac:dyDescent="0.35">
      <c r="A41" s="6">
        <v>1318</v>
      </c>
      <c r="B41" s="18">
        <v>44965</v>
      </c>
      <c r="C41" s="6">
        <v>29</v>
      </c>
      <c r="D41" s="19">
        <v>794</v>
      </c>
      <c r="E41" s="7">
        <v>3</v>
      </c>
      <c r="F41" s="7" t="str">
        <f>VLOOKUP(orders[[#All],[customer_id]],'customers'!A:B,2,0)</f>
        <v>johN</v>
      </c>
      <c r="G41" s="7" t="str">
        <f>INDEX(products!A:G,MATCH(orders[[#This Row],[product_id]],products[[#All],[product_id]],0),MATCH("product_name",products[#Headers],0))</f>
        <v>Grilled Cheese</v>
      </c>
      <c r="H41" s="7" t="str">
        <f>VLOOKUP(orders[[#This Row],[product_id]],products!A:G,7,FALSE)</f>
        <v>₹100</v>
      </c>
      <c r="I41" s="20">
        <f>SUM(orders[[#This Row],[qty]]*orders[[#This Row],[price (in INR)]])</f>
        <v>300</v>
      </c>
    </row>
    <row r="42" spans="1:9" x14ac:dyDescent="0.35">
      <c r="A42" s="6">
        <v>1319</v>
      </c>
      <c r="B42" s="18">
        <v>44965</v>
      </c>
      <c r="C42" s="6">
        <v>14</v>
      </c>
      <c r="D42" s="19">
        <v>521</v>
      </c>
      <c r="E42" s="7">
        <v>6</v>
      </c>
      <c r="F42" s="7" t="str">
        <f>VLOOKUP(orders[[#All],[customer_id]],'customers'!A:B,2,0)</f>
        <v>RavI</v>
      </c>
      <c r="G42" s="7" t="str">
        <f>INDEX(products!A:G,MATCH(orders[[#This Row],[product_id]],products[[#All],[product_id]],0),MATCH("product_name",products[#Headers],0))</f>
        <v>Carrot</v>
      </c>
      <c r="H42" s="7" t="str">
        <f>VLOOKUP(orders[[#This Row],[product_id]],products!A:G,7,FALSE)</f>
        <v>₹40</v>
      </c>
      <c r="I42" s="20">
        <f>SUM(orders[[#This Row],[qty]]*orders[[#This Row],[price (in INR)]])</f>
        <v>240</v>
      </c>
    </row>
    <row r="43" spans="1:9" x14ac:dyDescent="0.35">
      <c r="A43" s="6">
        <v>1321</v>
      </c>
      <c r="B43" s="18">
        <v>44965</v>
      </c>
      <c r="C43" s="6">
        <v>21</v>
      </c>
      <c r="D43" s="19">
        <v>594</v>
      </c>
      <c r="E43" s="7">
        <v>7</v>
      </c>
      <c r="F43" s="7" t="str">
        <f>VLOOKUP(orders[[#All],[customer_id]],'customers'!A:B,2,0)</f>
        <v>Lisa</v>
      </c>
      <c r="G43" s="7" t="str">
        <f>INDEX(products!A:G,MATCH(orders[[#This Row],[product_id]],products[[#All],[product_id]],0),MATCH("product_name",products[#Headers],0))</f>
        <v>Chicken</v>
      </c>
      <c r="H43" s="7" t="str">
        <f>VLOOKUP(orders[[#This Row],[product_id]],products!A:G,7,FALSE)</f>
        <v>₹250</v>
      </c>
      <c r="I43" s="20">
        <f>SUM(orders[[#This Row],[qty]]*orders[[#This Row],[price (in INR)]])</f>
        <v>1750</v>
      </c>
    </row>
    <row r="44" spans="1:9" x14ac:dyDescent="0.35">
      <c r="A44" s="6">
        <v>1323</v>
      </c>
      <c r="B44" s="18">
        <v>44966</v>
      </c>
      <c r="C44" s="6">
        <v>79</v>
      </c>
      <c r="D44" s="19">
        <v>646</v>
      </c>
      <c r="E44" s="7">
        <v>9</v>
      </c>
      <c r="F44" s="7" t="str">
        <f>VLOOKUP(orders[[#All],[customer_id]],'customers'!A:B,2,0)</f>
        <v>TiM</v>
      </c>
      <c r="G44" s="7" t="str">
        <f>INDEX(products!A:G,MATCH(orders[[#This Row],[product_id]],products[[#All],[product_id]],0),MATCH("product_name",products[#Headers],0))</f>
        <v xml:space="preserve">  Apple</v>
      </c>
      <c r="H44" s="7" t="str">
        <f>VLOOKUP(orders[[#This Row],[product_id]],products!A:G,7,FALSE)</f>
        <v>₹200</v>
      </c>
      <c r="I44" s="20">
        <f>SUM(orders[[#This Row],[qty]]*orders[[#This Row],[price (in INR)]])</f>
        <v>1800</v>
      </c>
    </row>
    <row r="45" spans="1:9" x14ac:dyDescent="0.35">
      <c r="A45" s="6">
        <v>1324</v>
      </c>
      <c r="B45" s="18">
        <v>44966</v>
      </c>
      <c r="C45" s="6">
        <v>19</v>
      </c>
      <c r="D45" s="19">
        <v>594</v>
      </c>
      <c r="E45" s="7">
        <v>8</v>
      </c>
      <c r="F45" s="7" t="str">
        <f>VLOOKUP(orders[[#All],[customer_id]],'customers'!A:B,2,0)</f>
        <v>ahmeD</v>
      </c>
      <c r="G45" s="7" t="str">
        <f>INDEX(products!A:G,MATCH(orders[[#This Row],[product_id]],products[[#All],[product_id]],0),MATCH("product_name",products[#Headers],0))</f>
        <v>Chicken</v>
      </c>
      <c r="H45" s="7" t="str">
        <f>VLOOKUP(orders[[#This Row],[product_id]],products!A:G,7,FALSE)</f>
        <v>₹250</v>
      </c>
      <c r="I45" s="20">
        <f>SUM(orders[[#This Row],[qty]]*orders[[#This Row],[price (in INR)]])</f>
        <v>2000</v>
      </c>
    </row>
    <row r="46" spans="1:9" x14ac:dyDescent="0.35">
      <c r="A46" s="6">
        <v>1327</v>
      </c>
      <c r="B46" s="18">
        <v>44966</v>
      </c>
      <c r="C46" s="6">
        <v>50</v>
      </c>
      <c r="D46" s="19">
        <v>392</v>
      </c>
      <c r="E46" s="7">
        <v>9</v>
      </c>
      <c r="F46" s="7" t="str">
        <f>VLOOKUP(orders[[#All],[customer_id]],'customers'!A:B,2,0)</f>
        <v>BRuce</v>
      </c>
      <c r="G46" s="7" t="str">
        <f>INDEX(products!A:G,MATCH(orders[[#This Row],[product_id]],products[[#All],[product_id]],0),MATCH("product_name",products[#Headers],0))</f>
        <v>Yogurt</v>
      </c>
      <c r="H46" s="7" t="str">
        <f>VLOOKUP(orders[[#This Row],[product_id]],products!A:G,7,FALSE)</f>
        <v>₹30</v>
      </c>
      <c r="I46" s="20">
        <f>SUM(orders[[#This Row],[qty]]*orders[[#This Row],[price (in INR)]])</f>
        <v>270</v>
      </c>
    </row>
    <row r="47" spans="1:9" x14ac:dyDescent="0.35">
      <c r="A47" s="6">
        <v>1330</v>
      </c>
      <c r="B47" s="18">
        <v>44966</v>
      </c>
      <c r="C47" s="6">
        <v>29</v>
      </c>
      <c r="D47" s="19">
        <v>804</v>
      </c>
      <c r="E47" s="7">
        <v>10</v>
      </c>
      <c r="F47" s="7" t="str">
        <f>VLOOKUP(orders[[#All],[customer_id]],'customers'!A:B,2,0)</f>
        <v>johN</v>
      </c>
      <c r="G47" s="7" t="str">
        <f>INDEX(products!A:G,MATCH(orders[[#This Row],[product_id]],products[[#All],[product_id]],0),MATCH("product_name",products[#Headers],0))</f>
        <v>Broccoli</v>
      </c>
      <c r="H47" s="7" t="str">
        <f>VLOOKUP(orders[[#This Row],[product_id]],products!A:G,7,FALSE)</f>
        <v>₹30</v>
      </c>
      <c r="I47" s="20">
        <f>SUM(orders[[#This Row],[qty]]*orders[[#This Row],[price (in INR)]])</f>
        <v>300</v>
      </c>
    </row>
    <row r="48" spans="1:9" x14ac:dyDescent="0.35">
      <c r="A48" s="6">
        <v>1335</v>
      </c>
      <c r="B48" s="18">
        <v>44966</v>
      </c>
      <c r="C48" s="6">
        <v>34</v>
      </c>
      <c r="D48" s="19">
        <v>811</v>
      </c>
      <c r="E48" s="7">
        <v>6</v>
      </c>
      <c r="F48" s="7" t="str">
        <f>VLOOKUP(orders[[#All],[customer_id]],'customers'!A:B,2,0)</f>
        <v>JaY</v>
      </c>
      <c r="G48" s="7" t="str">
        <f>INDEX(products!A:G,MATCH(orders[[#This Row],[product_id]],products[[#All],[product_id]],0),MATCH("product_name",products[#Headers],0))</f>
        <v>Celery</v>
      </c>
      <c r="H48" s="7" t="str">
        <f>VLOOKUP(orders[[#This Row],[product_id]],products!A:G,7,FALSE)</f>
        <v>₹50</v>
      </c>
      <c r="I48" s="20">
        <f>SUM(orders[[#This Row],[qty]]*orders[[#This Row],[price (in INR)]])</f>
        <v>300</v>
      </c>
    </row>
    <row r="49" spans="1:9" x14ac:dyDescent="0.35">
      <c r="A49" s="6">
        <v>1338</v>
      </c>
      <c r="B49" s="18">
        <v>44967</v>
      </c>
      <c r="C49" s="6">
        <v>14</v>
      </c>
      <c r="D49" s="19">
        <v>521</v>
      </c>
      <c r="E49" s="7">
        <v>5</v>
      </c>
      <c r="F49" s="7" t="str">
        <f>VLOOKUP(orders[[#All],[customer_id]],'customers'!A:B,2,0)</f>
        <v>RavI</v>
      </c>
      <c r="G49" s="7" t="str">
        <f>INDEX(products!A:G,MATCH(orders[[#This Row],[product_id]],products[[#All],[product_id]],0),MATCH("product_name",products[#Headers],0))</f>
        <v>Carrot</v>
      </c>
      <c r="H49" s="7" t="str">
        <f>VLOOKUP(orders[[#This Row],[product_id]],products!A:G,7,FALSE)</f>
        <v>₹40</v>
      </c>
      <c r="I49" s="20">
        <f>SUM(orders[[#This Row],[qty]]*orders[[#This Row],[price (in INR)]])</f>
        <v>200</v>
      </c>
    </row>
    <row r="50" spans="1:9" x14ac:dyDescent="0.35">
      <c r="A50" s="6">
        <v>1339</v>
      </c>
      <c r="B50" s="18">
        <v>44967</v>
      </c>
      <c r="C50" s="6">
        <v>35</v>
      </c>
      <c r="D50" s="19">
        <v>886</v>
      </c>
      <c r="E50" s="7"/>
      <c r="F50" s="7" t="str">
        <f>VLOOKUP(orders[[#All],[customer_id]],'customers'!A:B,2,0)</f>
        <v>MiKe</v>
      </c>
      <c r="G50" s="7" t="str">
        <f>INDEX(products!A:G,MATCH(orders[[#This Row],[product_id]],products[[#All],[product_id]],0),MATCH("product_name",products[#Headers],0))</f>
        <v>Avocado</v>
      </c>
      <c r="H50" s="7" t="str">
        <f>VLOOKUP(orders[[#This Row],[product_id]],products!A:G,7,FALSE)</f>
        <v>₹100</v>
      </c>
      <c r="I50" s="20">
        <f>SUM(orders[[#This Row],[qty]]*orders[[#This Row],[price (in INR)]])</f>
        <v>0</v>
      </c>
    </row>
    <row r="51" spans="1:9" x14ac:dyDescent="0.35">
      <c r="A51" s="6">
        <v>1341</v>
      </c>
      <c r="B51" s="18">
        <v>44967</v>
      </c>
      <c r="C51" s="6">
        <v>29</v>
      </c>
      <c r="D51" s="19">
        <v>600</v>
      </c>
      <c r="E51" s="7">
        <v>6</v>
      </c>
      <c r="F51" s="7" t="str">
        <f>VLOOKUP(orders[[#All],[customer_id]],'customers'!A:B,2,0)</f>
        <v>johN</v>
      </c>
      <c r="G51" s="7" t="str">
        <f>INDEX(products!A:G,MATCH(orders[[#This Row],[product_id]],products[[#All],[product_id]],0),MATCH("product_name",products[#Headers],0))</f>
        <v xml:space="preserve">      Grapefruit</v>
      </c>
      <c r="H51" s="7" t="str">
        <f>VLOOKUP(orders[[#This Row],[product_id]],products!A:G,7,FALSE)</f>
        <v>₹20</v>
      </c>
      <c r="I51" s="20">
        <f>SUM(orders[[#This Row],[qty]]*orders[[#This Row],[price (in INR)]])</f>
        <v>120</v>
      </c>
    </row>
    <row r="52" spans="1:9" x14ac:dyDescent="0.35">
      <c r="A52" s="6">
        <v>1342</v>
      </c>
      <c r="B52" s="18">
        <v>44967</v>
      </c>
      <c r="C52" s="6">
        <v>11</v>
      </c>
      <c r="D52" s="19">
        <v>651</v>
      </c>
      <c r="E52" s="7">
        <v>6</v>
      </c>
      <c r="F52" s="7" t="str">
        <f>VLOOKUP(orders[[#All],[customer_id]],'customers'!A:B,2,0)</f>
        <v>AnthoNY</v>
      </c>
      <c r="G52" s="7" t="str">
        <f>INDEX(products!A:G,MATCH(orders[[#This Row],[product_id]],products[[#All],[product_id]],0),MATCH("product_name",products[#Headers],0))</f>
        <v>Banana</v>
      </c>
      <c r="H52" s="7" t="str">
        <f>VLOOKUP(orders[[#This Row],[product_id]],products!A:G,7,FALSE)</f>
        <v>₹80</v>
      </c>
      <c r="I52" s="20">
        <f>SUM(orders[[#This Row],[qty]]*orders[[#This Row],[price (in INR)]])</f>
        <v>480</v>
      </c>
    </row>
    <row r="53" spans="1:9" x14ac:dyDescent="0.35">
      <c r="A53" s="6">
        <v>1346</v>
      </c>
      <c r="B53" s="18">
        <v>44967</v>
      </c>
      <c r="C53" s="6">
        <v>21</v>
      </c>
      <c r="D53" s="19">
        <v>328</v>
      </c>
      <c r="E53" s="7">
        <v>2</v>
      </c>
      <c r="F53" s="7" t="str">
        <f>VLOOKUP(orders[[#All],[customer_id]],'customers'!A:B,2,0)</f>
        <v>Lisa</v>
      </c>
      <c r="G53" s="7" t="str">
        <f>INDEX(products!A:G,MATCH(orders[[#This Row],[product_id]],products[[#All],[product_id]],0),MATCH("product_name",products[#Headers],0))</f>
        <v>Pasta</v>
      </c>
      <c r="H53" s="7" t="str">
        <f>VLOOKUP(orders[[#This Row],[product_id]],products!A:G,7,FALSE)</f>
        <v>₹60</v>
      </c>
      <c r="I53" s="20">
        <f>SUM(orders[[#This Row],[qty]]*orders[[#This Row],[price (in INR)]])</f>
        <v>120</v>
      </c>
    </row>
    <row r="54" spans="1:9" x14ac:dyDescent="0.35">
      <c r="A54" s="6">
        <v>1347</v>
      </c>
      <c r="B54" s="18">
        <v>44968</v>
      </c>
      <c r="C54" s="6">
        <v>79</v>
      </c>
      <c r="D54" s="19">
        <v>862</v>
      </c>
      <c r="E54" s="7">
        <v>9</v>
      </c>
      <c r="F54" s="7" t="str">
        <f>VLOOKUP(orders[[#All],[customer_id]],'customers'!A:B,2,0)</f>
        <v>TiM</v>
      </c>
      <c r="G54" s="7" t="str">
        <f>INDEX(products!A:G,MATCH(orders[[#This Row],[product_id]],products[[#All],[product_id]],0),MATCH("product_name",products[#Headers],0))</f>
        <v>Chocolate Cake</v>
      </c>
      <c r="H54" s="7" t="str">
        <f>VLOOKUP(orders[[#This Row],[product_id]],products!A:G,7,FALSE)</f>
        <v>₹200</v>
      </c>
      <c r="I54" s="20">
        <f>SUM(orders[[#This Row],[qty]]*orders[[#This Row],[price (in INR)]])</f>
        <v>1800</v>
      </c>
    </row>
    <row r="55" spans="1:9" x14ac:dyDescent="0.35">
      <c r="A55" s="6">
        <v>1350</v>
      </c>
      <c r="B55" s="18">
        <v>44968</v>
      </c>
      <c r="C55" s="6">
        <v>19</v>
      </c>
      <c r="D55" s="19">
        <v>484</v>
      </c>
      <c r="E55" s="7">
        <v>9</v>
      </c>
      <c r="F55" s="7" t="str">
        <f>VLOOKUP(orders[[#All],[customer_id]],'customers'!A:B,2,0)</f>
        <v>ahmeD</v>
      </c>
      <c r="G55" s="7" t="str">
        <f>INDEX(products!A:G,MATCH(orders[[#This Row],[product_id]],products[[#All],[product_id]],0),MATCH("product_name",products[#Headers],0))</f>
        <v xml:space="preserve">          Hamburger</v>
      </c>
      <c r="H55" s="7" t="str">
        <f>VLOOKUP(orders[[#This Row],[product_id]],products!A:G,7,FALSE)</f>
        <v>₹70</v>
      </c>
      <c r="I55" s="20">
        <f>SUM(orders[[#This Row],[qty]]*orders[[#This Row],[price (in INR)]])</f>
        <v>630</v>
      </c>
    </row>
    <row r="56" spans="1:9" x14ac:dyDescent="0.35">
      <c r="A56" s="6">
        <v>1352</v>
      </c>
      <c r="B56" s="18">
        <v>44968</v>
      </c>
      <c r="C56" s="6">
        <v>35</v>
      </c>
      <c r="D56" s="19">
        <v>704</v>
      </c>
      <c r="E56" s="7">
        <v>4</v>
      </c>
      <c r="F56" s="7" t="str">
        <f>VLOOKUP(orders[[#All],[customer_id]],'customers'!A:B,2,0)</f>
        <v>MiKe</v>
      </c>
      <c r="G56" s="7" t="str">
        <f>INDEX(products!A:G,MATCH(orders[[#This Row],[product_id]],products[[#All],[product_id]],0),MATCH("product_name",products[#Headers],0))</f>
        <v>Eggs</v>
      </c>
      <c r="H56" s="7" t="str">
        <f>VLOOKUP(orders[[#This Row],[product_id]],products!A:G,7,FALSE)</f>
        <v>₹65</v>
      </c>
      <c r="I56" s="20">
        <f>SUM(orders[[#This Row],[qty]]*orders[[#This Row],[price (in INR)]])</f>
        <v>260</v>
      </c>
    </row>
    <row r="57" spans="1:9" x14ac:dyDescent="0.35">
      <c r="A57" s="6">
        <v>1352</v>
      </c>
      <c r="B57" s="18">
        <v>44968</v>
      </c>
      <c r="C57" s="6">
        <v>35</v>
      </c>
      <c r="D57" s="19">
        <v>704</v>
      </c>
      <c r="E57" s="7">
        <v>2</v>
      </c>
      <c r="F57" s="7" t="str">
        <f>VLOOKUP(orders[[#All],[customer_id]],'customers'!A:B,2,0)</f>
        <v>MiKe</v>
      </c>
      <c r="G57" s="7" t="str">
        <f>INDEX(products!A:G,MATCH(orders[[#This Row],[product_id]],products[[#All],[product_id]],0),MATCH("product_name",products[#Headers],0))</f>
        <v>Eggs</v>
      </c>
      <c r="H57" s="7" t="str">
        <f>VLOOKUP(orders[[#This Row],[product_id]],products!A:G,7,FALSE)</f>
        <v>₹65</v>
      </c>
      <c r="I57" s="20">
        <f>SUM(orders[[#This Row],[qty]]*orders[[#This Row],[price (in INR)]])</f>
        <v>130</v>
      </c>
    </row>
    <row r="58" spans="1:9" x14ac:dyDescent="0.35">
      <c r="A58" s="6">
        <v>1353</v>
      </c>
      <c r="B58" s="18">
        <v>44968</v>
      </c>
      <c r="C58" s="6">
        <v>34</v>
      </c>
      <c r="D58" s="19">
        <v>739</v>
      </c>
      <c r="E58" s="7">
        <v>3</v>
      </c>
      <c r="F58" s="7" t="str">
        <f>VLOOKUP(orders[[#All],[customer_id]],'customers'!A:B,2,0)</f>
        <v>JaY</v>
      </c>
      <c r="G58" s="7" t="str">
        <f>INDEX(products!A:G,MATCH(orders[[#This Row],[product_id]],products[[#All],[product_id]],0),MATCH("product_name",products[#Headers],0))</f>
        <v xml:space="preserve"> Donut</v>
      </c>
      <c r="H58" s="7" t="str">
        <f>VLOOKUP(orders[[#This Row],[product_id]],products!A:G,7,FALSE)</f>
        <v>₹40</v>
      </c>
      <c r="I58" s="20">
        <f>SUM(orders[[#This Row],[qty]]*orders[[#This Row],[price (in INR)]])</f>
        <v>120</v>
      </c>
    </row>
    <row r="59" spans="1:9" x14ac:dyDescent="0.35">
      <c r="A59" s="6">
        <v>1358</v>
      </c>
      <c r="B59" s="18">
        <v>44968</v>
      </c>
      <c r="C59" s="6">
        <v>50</v>
      </c>
      <c r="D59" s="19">
        <v>594</v>
      </c>
      <c r="E59" s="7">
        <v>9</v>
      </c>
      <c r="F59" s="7" t="str">
        <f>VLOOKUP(orders[[#All],[customer_id]],'customers'!A:B,2,0)</f>
        <v>BRuce</v>
      </c>
      <c r="G59" s="7" t="str">
        <f>INDEX(products!A:G,MATCH(orders[[#This Row],[product_id]],products[[#All],[product_id]],0),MATCH("product_name",products[#Headers],0))</f>
        <v>Chicken</v>
      </c>
      <c r="H59" s="7" t="str">
        <f>VLOOKUP(orders[[#This Row],[product_id]],products!A:G,7,FALSE)</f>
        <v>₹250</v>
      </c>
      <c r="I59" s="20">
        <f>SUM(orders[[#This Row],[qty]]*orders[[#This Row],[price (in INR)]])</f>
        <v>2250</v>
      </c>
    </row>
    <row r="60" spans="1:9" x14ac:dyDescent="0.35">
      <c r="A60" s="6">
        <v>1359</v>
      </c>
      <c r="B60" s="18">
        <v>44969</v>
      </c>
      <c r="C60" s="6">
        <v>35</v>
      </c>
      <c r="D60" s="19">
        <v>392</v>
      </c>
      <c r="E60" s="7">
        <v>3</v>
      </c>
      <c r="F60" s="7" t="str">
        <f>VLOOKUP(orders[[#All],[customer_id]],'customers'!A:B,2,0)</f>
        <v>MiKe</v>
      </c>
      <c r="G60" s="7" t="str">
        <f>INDEX(products!A:G,MATCH(orders[[#This Row],[product_id]],products[[#All],[product_id]],0),MATCH("product_name",products[#Headers],0))</f>
        <v>Yogurt</v>
      </c>
      <c r="H60" s="7" t="str">
        <f>VLOOKUP(orders[[#This Row],[product_id]],products!A:G,7,FALSE)</f>
        <v>₹30</v>
      </c>
      <c r="I60" s="20">
        <f>SUM(orders[[#This Row],[qty]]*orders[[#This Row],[price (in INR)]])</f>
        <v>90</v>
      </c>
    </row>
    <row r="61" spans="1:9" x14ac:dyDescent="0.35">
      <c r="A61" s="6">
        <v>1361</v>
      </c>
      <c r="B61" s="18">
        <v>44969</v>
      </c>
      <c r="C61" s="6">
        <v>35</v>
      </c>
      <c r="D61" s="19">
        <v>794</v>
      </c>
      <c r="E61" s="7">
        <v>7</v>
      </c>
      <c r="F61" s="7" t="str">
        <f>VLOOKUP(orders[[#All],[customer_id]],'customers'!A:B,2,0)</f>
        <v>MiKe</v>
      </c>
      <c r="G61" s="7" t="str">
        <f>INDEX(products!A:G,MATCH(orders[[#This Row],[product_id]],products[[#All],[product_id]],0),MATCH("product_name",products[#Headers],0))</f>
        <v>Grilled Cheese</v>
      </c>
      <c r="H61" s="7" t="str">
        <f>VLOOKUP(orders[[#This Row],[product_id]],products!A:G,7,FALSE)</f>
        <v>₹100</v>
      </c>
      <c r="I61" s="20">
        <f>SUM(orders[[#This Row],[qty]]*orders[[#This Row],[price (in INR)]])</f>
        <v>700</v>
      </c>
    </row>
    <row r="62" spans="1:9" x14ac:dyDescent="0.35">
      <c r="A62" s="6">
        <v>1364</v>
      </c>
      <c r="B62" s="18">
        <v>44969</v>
      </c>
      <c r="C62" s="6">
        <v>21</v>
      </c>
      <c r="D62" s="19">
        <v>739</v>
      </c>
      <c r="E62" s="7">
        <v>7</v>
      </c>
      <c r="F62" s="7" t="str">
        <f>VLOOKUP(orders[[#All],[customer_id]],'customers'!A:B,2,0)</f>
        <v>Lisa</v>
      </c>
      <c r="G62" s="7" t="str">
        <f>INDEX(products!A:G,MATCH(orders[[#This Row],[product_id]],products[[#All],[product_id]],0),MATCH("product_name",products[#Headers],0))</f>
        <v xml:space="preserve"> Donut</v>
      </c>
      <c r="H62" s="7" t="str">
        <f>VLOOKUP(orders[[#This Row],[product_id]],products!A:G,7,FALSE)</f>
        <v>₹40</v>
      </c>
      <c r="I62" s="20">
        <f>SUM(orders[[#This Row],[qty]]*orders[[#This Row],[price (in INR)]])</f>
        <v>280</v>
      </c>
    </row>
    <row r="63" spans="1:9" x14ac:dyDescent="0.35">
      <c r="A63" s="6">
        <v>1370</v>
      </c>
      <c r="B63" s="18">
        <v>44969</v>
      </c>
      <c r="C63" s="6">
        <v>50</v>
      </c>
      <c r="D63" s="19">
        <v>594</v>
      </c>
      <c r="E63" s="7">
        <v>10</v>
      </c>
      <c r="F63" s="7" t="str">
        <f>VLOOKUP(orders[[#All],[customer_id]],'customers'!A:B,2,0)</f>
        <v>BRuce</v>
      </c>
      <c r="G63" s="7" t="str">
        <f>INDEX(products!A:G,MATCH(orders[[#This Row],[product_id]],products[[#All],[product_id]],0),MATCH("product_name",products[#Headers],0))</f>
        <v>Chicken</v>
      </c>
      <c r="H63" s="7" t="str">
        <f>VLOOKUP(orders[[#This Row],[product_id]],products!A:G,7,FALSE)</f>
        <v>₹250</v>
      </c>
      <c r="I63" s="20">
        <f>SUM(orders[[#This Row],[qty]]*orders[[#This Row],[price (in INR)]])</f>
        <v>2500</v>
      </c>
    </row>
    <row r="64" spans="1:9" x14ac:dyDescent="0.35">
      <c r="A64" s="6">
        <v>1374</v>
      </c>
      <c r="B64" s="18">
        <v>44969</v>
      </c>
      <c r="C64" s="6">
        <v>19</v>
      </c>
      <c r="D64" s="19">
        <v>811</v>
      </c>
      <c r="E64" s="7">
        <v>8</v>
      </c>
      <c r="F64" s="7" t="str">
        <f>VLOOKUP(orders[[#All],[customer_id]],'customers'!A:B,2,0)</f>
        <v>ahmeD</v>
      </c>
      <c r="G64" s="7" t="str">
        <f>INDEX(products!A:G,MATCH(orders[[#This Row],[product_id]],products[[#All],[product_id]],0),MATCH("product_name",products[#Headers],0))</f>
        <v>Celery</v>
      </c>
      <c r="H64" s="7" t="str">
        <f>VLOOKUP(orders[[#This Row],[product_id]],products!A:G,7,FALSE)</f>
        <v>₹50</v>
      </c>
      <c r="I64" s="20">
        <f>SUM(orders[[#This Row],[qty]]*orders[[#This Row],[price (in INR)]])</f>
        <v>400</v>
      </c>
    </row>
    <row r="65" spans="1:9" x14ac:dyDescent="0.35">
      <c r="A65" s="6">
        <v>1379</v>
      </c>
      <c r="B65" s="18">
        <v>44970</v>
      </c>
      <c r="C65" s="6">
        <v>14</v>
      </c>
      <c r="D65" s="19">
        <v>794</v>
      </c>
      <c r="E65" s="7">
        <v>10</v>
      </c>
      <c r="F65" s="7" t="str">
        <f>VLOOKUP(orders[[#All],[customer_id]],'customers'!A:B,2,0)</f>
        <v>RavI</v>
      </c>
      <c r="G65" s="7" t="str">
        <f>INDEX(products!A:G,MATCH(orders[[#This Row],[product_id]],products[[#All],[product_id]],0),MATCH("product_name",products[#Headers],0))</f>
        <v>Grilled Cheese</v>
      </c>
      <c r="H65" s="7" t="str">
        <f>VLOOKUP(orders[[#This Row],[product_id]],products!A:G,7,FALSE)</f>
        <v>₹100</v>
      </c>
      <c r="I65" s="20">
        <f>SUM(orders[[#This Row],[qty]]*orders[[#This Row],[price (in INR)]])</f>
        <v>1000</v>
      </c>
    </row>
    <row r="66" spans="1:9" x14ac:dyDescent="0.35">
      <c r="A66" s="6">
        <v>1382</v>
      </c>
      <c r="B66" s="18">
        <v>44970</v>
      </c>
      <c r="C66" s="6">
        <v>35</v>
      </c>
      <c r="D66" s="19">
        <v>862</v>
      </c>
      <c r="E66" s="7">
        <v>10</v>
      </c>
      <c r="F66" s="7" t="str">
        <f>VLOOKUP(orders[[#All],[customer_id]],'customers'!A:B,2,0)</f>
        <v>MiKe</v>
      </c>
      <c r="G66" s="7" t="str">
        <f>INDEX(products!A:G,MATCH(orders[[#This Row],[product_id]],products[[#All],[product_id]],0),MATCH("product_name",products[#Headers],0))</f>
        <v>Chocolate Cake</v>
      </c>
      <c r="H66" s="7" t="str">
        <f>VLOOKUP(orders[[#This Row],[product_id]],products!A:G,7,FALSE)</f>
        <v>₹200</v>
      </c>
      <c r="I66" s="20">
        <f>SUM(orders[[#This Row],[qty]]*orders[[#This Row],[price (in INR)]])</f>
        <v>2000</v>
      </c>
    </row>
    <row r="67" spans="1:9" x14ac:dyDescent="0.35">
      <c r="A67" s="6">
        <v>1388</v>
      </c>
      <c r="B67" s="18">
        <v>44970</v>
      </c>
      <c r="C67" s="6">
        <v>11</v>
      </c>
      <c r="D67" s="19">
        <v>804</v>
      </c>
      <c r="E67" s="7">
        <v>3</v>
      </c>
      <c r="F67" s="7" t="str">
        <f>VLOOKUP(orders[[#All],[customer_id]],'customers'!A:B,2,0)</f>
        <v>AnthoNY</v>
      </c>
      <c r="G67" s="7" t="str">
        <f>INDEX(products!A:G,MATCH(orders[[#This Row],[product_id]],products[[#All],[product_id]],0),MATCH("product_name",products[#Headers],0))</f>
        <v>Broccoli</v>
      </c>
      <c r="H67" s="7" t="str">
        <f>VLOOKUP(orders[[#This Row],[product_id]],products!A:G,7,FALSE)</f>
        <v>₹30</v>
      </c>
      <c r="I67" s="20">
        <f>SUM(orders[[#This Row],[qty]]*orders[[#This Row],[price (in INR)]])</f>
        <v>90</v>
      </c>
    </row>
    <row r="68" spans="1:9" x14ac:dyDescent="0.35">
      <c r="A68" s="6">
        <v>1395</v>
      </c>
      <c r="B68" s="18">
        <v>44970</v>
      </c>
      <c r="C68" s="6">
        <v>19</v>
      </c>
      <c r="D68" s="19">
        <v>590</v>
      </c>
      <c r="E68" s="7"/>
      <c r="F68" s="7" t="str">
        <f>VLOOKUP(orders[[#All],[customer_id]],'customers'!A:B,2,0)</f>
        <v>ahmeD</v>
      </c>
      <c r="G68" s="7" t="str">
        <f>INDEX(products!A:G,MATCH(orders[[#This Row],[product_id]],products[[#All],[product_id]],0),MATCH("product_name",products[#Headers],0))</f>
        <v>French Fries</v>
      </c>
      <c r="H68" s="7" t="str">
        <f>VLOOKUP(orders[[#This Row],[product_id]],products!A:G,7,FALSE)</f>
        <v>₹50</v>
      </c>
      <c r="I68" s="20">
        <f>SUM(orders[[#This Row],[qty]]*orders[[#This Row],[price (in INR)]])</f>
        <v>0</v>
      </c>
    </row>
    <row r="69" spans="1:9" x14ac:dyDescent="0.35">
      <c r="A69" s="6">
        <v>1396</v>
      </c>
      <c r="B69" s="18">
        <v>44970</v>
      </c>
      <c r="C69" s="6">
        <v>34</v>
      </c>
      <c r="D69" s="19">
        <v>628</v>
      </c>
      <c r="E69" s="7">
        <v>9</v>
      </c>
      <c r="F69" s="7" t="str">
        <f>VLOOKUP(orders[[#All],[customer_id]],'customers'!A:B,2,0)</f>
        <v>JaY</v>
      </c>
      <c r="G69" s="7" t="str">
        <f>INDEX(products!A:G,MATCH(orders[[#This Row],[product_id]],products[[#All],[product_id]],0),MATCH("product_name",products[#Headers],0))</f>
        <v>Fish</v>
      </c>
      <c r="H69" s="7" t="str">
        <f>VLOOKUP(orders[[#This Row],[product_id]],products!A:G,7,FALSE)</f>
        <v>₹120</v>
      </c>
      <c r="I69" s="20">
        <f>SUM(orders[[#This Row],[qty]]*orders[[#This Row],[price (in INR)]])</f>
        <v>1080</v>
      </c>
    </row>
    <row r="70" spans="1:9" x14ac:dyDescent="0.35">
      <c r="A70" s="6">
        <v>1397</v>
      </c>
      <c r="B70" s="18">
        <v>44971</v>
      </c>
      <c r="C70" s="6">
        <v>79</v>
      </c>
      <c r="D70" s="19">
        <v>797</v>
      </c>
      <c r="E70" s="7">
        <v>6</v>
      </c>
      <c r="F70" s="7" t="str">
        <f>VLOOKUP(orders[[#All],[customer_id]],'customers'!A:B,2,0)</f>
        <v>TiM</v>
      </c>
      <c r="G70" s="7" t="str">
        <f>INDEX(products!A:G,MATCH(orders[[#This Row],[product_id]],products[[#All],[product_id]],0),MATCH("product_name",products[#Headers],0))</f>
        <v xml:space="preserve">   Cheese</v>
      </c>
      <c r="H70" s="7" t="str">
        <f>VLOOKUP(orders[[#This Row],[product_id]],products!A:G,7,FALSE)</f>
        <v>₹80</v>
      </c>
      <c r="I70" s="20">
        <f>SUM(orders[[#This Row],[qty]]*orders[[#This Row],[price (in INR)]])</f>
        <v>480</v>
      </c>
    </row>
    <row r="71" spans="1:9" x14ac:dyDescent="0.35">
      <c r="A71" s="6">
        <v>1406</v>
      </c>
      <c r="B71" s="18">
        <v>44971</v>
      </c>
      <c r="C71" s="6">
        <v>19</v>
      </c>
      <c r="D71" s="19">
        <v>294</v>
      </c>
      <c r="E71" s="7">
        <v>3</v>
      </c>
      <c r="F71" s="7" t="str">
        <f>VLOOKUP(orders[[#All],[customer_id]],'customers'!A:B,2,0)</f>
        <v>ahmeD</v>
      </c>
      <c r="G71" s="7" t="str">
        <f>INDEX(products!A:G,MATCH(orders[[#This Row],[product_id]],products[[#All],[product_id]],0),MATCH("product_name",products[#Headers],0))</f>
        <v>Rice</v>
      </c>
      <c r="H71" s="7" t="str">
        <f>VLOOKUP(orders[[#This Row],[product_id]],products!A:G,7,FALSE)</f>
        <v>₹80</v>
      </c>
      <c r="I71" s="20">
        <f>SUM(orders[[#This Row],[qty]]*orders[[#This Row],[price (in INR)]])</f>
        <v>240</v>
      </c>
    </row>
    <row r="72" spans="1:9" x14ac:dyDescent="0.35">
      <c r="A72" s="6">
        <v>1420</v>
      </c>
      <c r="B72" s="18">
        <v>44971</v>
      </c>
      <c r="C72" s="6">
        <v>21</v>
      </c>
      <c r="D72" s="19">
        <v>590</v>
      </c>
      <c r="E72" s="7">
        <v>7</v>
      </c>
      <c r="F72" s="7" t="str">
        <f>VLOOKUP(orders[[#All],[customer_id]],'customers'!A:B,2,0)</f>
        <v>Lisa</v>
      </c>
      <c r="G72" s="7" t="str">
        <f>INDEX(products!A:G,MATCH(orders[[#This Row],[product_id]],products[[#All],[product_id]],0),MATCH("product_name",products[#Headers],0))</f>
        <v>French Fries</v>
      </c>
      <c r="H72" s="7" t="str">
        <f>VLOOKUP(orders[[#This Row],[product_id]],products!A:G,7,FALSE)</f>
        <v>₹50</v>
      </c>
      <c r="I72" s="20">
        <f>SUM(orders[[#This Row],[qty]]*orders[[#This Row],[price (in INR)]])</f>
        <v>350</v>
      </c>
    </row>
    <row r="73" spans="1:9" x14ac:dyDescent="0.35">
      <c r="A73" s="6">
        <v>1436</v>
      </c>
      <c r="B73" s="18">
        <v>44971</v>
      </c>
      <c r="C73" s="6">
        <v>35</v>
      </c>
      <c r="D73" s="19">
        <v>392</v>
      </c>
      <c r="E73" s="7">
        <v>3</v>
      </c>
      <c r="F73" s="7" t="str">
        <f>VLOOKUP(orders[[#All],[customer_id]],'customers'!A:B,2,0)</f>
        <v>MiKe</v>
      </c>
      <c r="G73" s="7" t="str">
        <f>INDEX(products!A:G,MATCH(orders[[#This Row],[product_id]],products[[#All],[product_id]],0),MATCH("product_name",products[#Headers],0))</f>
        <v>Yogurt</v>
      </c>
      <c r="H73" s="7" t="str">
        <f>VLOOKUP(orders[[#This Row],[product_id]],products!A:G,7,FALSE)</f>
        <v>₹30</v>
      </c>
      <c r="I73" s="20">
        <f>SUM(orders[[#This Row],[qty]]*orders[[#This Row],[price (in INR)]])</f>
        <v>90</v>
      </c>
    </row>
    <row r="74" spans="1:9" x14ac:dyDescent="0.35">
      <c r="A74" s="6">
        <v>1438</v>
      </c>
      <c r="B74" s="18">
        <v>44971</v>
      </c>
      <c r="C74" s="6">
        <v>14</v>
      </c>
      <c r="D74" s="19">
        <v>704</v>
      </c>
      <c r="E74" s="7">
        <v>4</v>
      </c>
      <c r="F74" s="7" t="str">
        <f>VLOOKUP(orders[[#All],[customer_id]],'customers'!A:B,2,0)</f>
        <v>RavI</v>
      </c>
      <c r="G74" s="7" t="str">
        <f>INDEX(products!A:G,MATCH(orders[[#This Row],[product_id]],products[[#All],[product_id]],0),MATCH("product_name",products[#Headers],0))</f>
        <v>Eggs</v>
      </c>
      <c r="H74" s="7" t="str">
        <f>VLOOKUP(orders[[#This Row],[product_id]],products!A:G,7,FALSE)</f>
        <v>₹65</v>
      </c>
      <c r="I74" s="20">
        <f>SUM(orders[[#This Row],[qty]]*orders[[#This Row],[price (in INR)]])</f>
        <v>260</v>
      </c>
    </row>
    <row r="75" spans="1:9" x14ac:dyDescent="0.35">
      <c r="A75" s="6">
        <v>1445</v>
      </c>
      <c r="B75" s="18">
        <v>44972</v>
      </c>
      <c r="C75" s="6">
        <v>34</v>
      </c>
      <c r="D75" s="19">
        <v>704</v>
      </c>
      <c r="E75" s="7">
        <v>4</v>
      </c>
      <c r="F75" s="7" t="str">
        <f>VLOOKUP(orders[[#All],[customer_id]],'customers'!A:B,2,0)</f>
        <v>JaY</v>
      </c>
      <c r="G75" s="7" t="str">
        <f>INDEX(products!A:G,MATCH(orders[[#This Row],[product_id]],products[[#All],[product_id]],0),MATCH("product_name",products[#Headers],0))</f>
        <v>Eggs</v>
      </c>
      <c r="H75" s="7" t="str">
        <f>VLOOKUP(orders[[#This Row],[product_id]],products!A:G,7,FALSE)</f>
        <v>₹65</v>
      </c>
      <c r="I75" s="20">
        <f>SUM(orders[[#This Row],[qty]]*orders[[#This Row],[price (in INR)]])</f>
        <v>260</v>
      </c>
    </row>
    <row r="76" spans="1:9" x14ac:dyDescent="0.35">
      <c r="A76" s="6">
        <v>1455</v>
      </c>
      <c r="B76" s="18">
        <v>44972</v>
      </c>
      <c r="C76" s="6">
        <v>29</v>
      </c>
      <c r="D76" s="19">
        <v>294</v>
      </c>
      <c r="E76" s="7">
        <v>10</v>
      </c>
      <c r="F76" s="7" t="str">
        <f>VLOOKUP(orders[[#All],[customer_id]],'customers'!A:B,2,0)</f>
        <v>johN</v>
      </c>
      <c r="G76" s="7" t="str">
        <f>INDEX(products!A:G,MATCH(orders[[#This Row],[product_id]],products[[#All],[product_id]],0),MATCH("product_name",products[#Headers],0))</f>
        <v>Rice</v>
      </c>
      <c r="H76" s="7" t="str">
        <f>VLOOKUP(orders[[#This Row],[product_id]],products!A:G,7,FALSE)</f>
        <v>₹80</v>
      </c>
      <c r="I76" s="20">
        <f>SUM(orders[[#This Row],[qty]]*orders[[#This Row],[price (in INR)]])</f>
        <v>800</v>
      </c>
    </row>
    <row r="77" spans="1:9" x14ac:dyDescent="0.35">
      <c r="A77" s="6">
        <v>1457</v>
      </c>
      <c r="B77" s="18">
        <v>44972</v>
      </c>
      <c r="C77" s="6">
        <v>50</v>
      </c>
      <c r="D77" s="19">
        <v>484</v>
      </c>
      <c r="E77" s="7">
        <v>10</v>
      </c>
      <c r="F77" s="7" t="str">
        <f>VLOOKUP(orders[[#All],[customer_id]],'customers'!A:B,2,0)</f>
        <v>BRuce</v>
      </c>
      <c r="G77" s="7" t="str">
        <f>INDEX(products!A:G,MATCH(orders[[#This Row],[product_id]],products[[#All],[product_id]],0),MATCH("product_name",products[#Headers],0))</f>
        <v xml:space="preserve">          Hamburger</v>
      </c>
      <c r="H77" s="7" t="str">
        <f>VLOOKUP(orders[[#This Row],[product_id]],products!A:G,7,FALSE)</f>
        <v>₹70</v>
      </c>
      <c r="I77" s="20">
        <f>SUM(orders[[#This Row],[qty]]*orders[[#This Row],[price (in INR)]])</f>
        <v>700</v>
      </c>
    </row>
    <row r="78" spans="1:9" x14ac:dyDescent="0.35">
      <c r="A78" s="6">
        <v>1457</v>
      </c>
      <c r="B78" s="18">
        <v>44972</v>
      </c>
      <c r="C78" s="6">
        <v>50</v>
      </c>
      <c r="D78" s="19">
        <v>484</v>
      </c>
      <c r="E78" s="7">
        <v>2</v>
      </c>
      <c r="F78" s="7" t="str">
        <f>VLOOKUP(orders[[#All],[customer_id]],'customers'!A:B,2,0)</f>
        <v>BRuce</v>
      </c>
      <c r="G78" s="7" t="str">
        <f>INDEX(products!A:G,MATCH(orders[[#This Row],[product_id]],products[[#All],[product_id]],0),MATCH("product_name",products[#Headers],0))</f>
        <v xml:space="preserve">          Hamburger</v>
      </c>
      <c r="H78" s="7" t="str">
        <f>VLOOKUP(orders[[#This Row],[product_id]],products!A:G,7,FALSE)</f>
        <v>₹70</v>
      </c>
      <c r="I78" s="20">
        <f>SUM(orders[[#This Row],[qty]]*orders[[#This Row],[price (in INR)]])</f>
        <v>140</v>
      </c>
    </row>
    <row r="79" spans="1:9" x14ac:dyDescent="0.35">
      <c r="A79" s="6">
        <v>1459</v>
      </c>
      <c r="B79" s="18">
        <v>44972</v>
      </c>
      <c r="C79" s="6">
        <v>14</v>
      </c>
      <c r="D79" s="19">
        <v>594</v>
      </c>
      <c r="E79" s="7">
        <v>5</v>
      </c>
      <c r="F79" s="7" t="str">
        <f>VLOOKUP(orders[[#All],[customer_id]],'customers'!A:B,2,0)</f>
        <v>RavI</v>
      </c>
      <c r="G79" s="7" t="str">
        <f>INDEX(products!A:G,MATCH(orders[[#This Row],[product_id]],products[[#All],[product_id]],0),MATCH("product_name",products[#Headers],0))</f>
        <v>Chicken</v>
      </c>
      <c r="H79" s="7" t="str">
        <f>VLOOKUP(orders[[#This Row],[product_id]],products!A:G,7,FALSE)</f>
        <v>₹250</v>
      </c>
      <c r="I79" s="20">
        <f>SUM(orders[[#This Row],[qty]]*orders[[#This Row],[price (in INR)]])</f>
        <v>1250</v>
      </c>
    </row>
    <row r="80" spans="1:9" x14ac:dyDescent="0.35">
      <c r="A80" s="6">
        <v>1466</v>
      </c>
      <c r="B80" s="18">
        <v>44972</v>
      </c>
      <c r="C80" s="6">
        <v>35</v>
      </c>
      <c r="D80" s="19">
        <v>163</v>
      </c>
      <c r="E80" s="7">
        <v>6</v>
      </c>
      <c r="F80" s="7" t="str">
        <f>VLOOKUP(orders[[#All],[customer_id]],'customers'!A:B,2,0)</f>
        <v>MiKe</v>
      </c>
      <c r="G80" s="7" t="str">
        <f>INDEX(products!A:G,MATCH(orders[[#This Row],[product_id]],products[[#All],[product_id]],0),MATCH("product_name",products[#Headers],0))</f>
        <v>Grape Juice</v>
      </c>
      <c r="H80" s="7" t="str">
        <f>VLOOKUP(orders[[#This Row],[product_id]],products!A:G,7,FALSE)</f>
        <v>₹40</v>
      </c>
      <c r="I80" s="20">
        <f>SUM(orders[[#This Row],[qty]]*orders[[#This Row],[price (in INR)]])</f>
        <v>240</v>
      </c>
    </row>
    <row r="81" spans="1:9" x14ac:dyDescent="0.35">
      <c r="A81" s="6">
        <v>1471</v>
      </c>
      <c r="B81" s="18">
        <v>44973</v>
      </c>
      <c r="C81" s="6">
        <v>50</v>
      </c>
      <c r="D81" s="19">
        <v>651</v>
      </c>
      <c r="E81" s="7">
        <v>8</v>
      </c>
      <c r="F81" s="7" t="str">
        <f>VLOOKUP(orders[[#All],[customer_id]],'customers'!A:B,2,0)</f>
        <v>BRuce</v>
      </c>
      <c r="G81" s="7" t="str">
        <f>INDEX(products!A:G,MATCH(orders[[#This Row],[product_id]],products[[#All],[product_id]],0),MATCH("product_name",products[#Headers],0))</f>
        <v>Banana</v>
      </c>
      <c r="H81" s="7" t="str">
        <f>VLOOKUP(orders[[#This Row],[product_id]],products!A:G,7,FALSE)</f>
        <v>₹80</v>
      </c>
      <c r="I81" s="20">
        <f>SUM(orders[[#This Row],[qty]]*orders[[#This Row],[price (in INR)]])</f>
        <v>640</v>
      </c>
    </row>
    <row r="82" spans="1:9" x14ac:dyDescent="0.35">
      <c r="A82" s="6">
        <v>1480</v>
      </c>
      <c r="B82" s="18">
        <v>44973</v>
      </c>
      <c r="C82" s="6">
        <v>19</v>
      </c>
      <c r="D82" s="19">
        <v>704</v>
      </c>
      <c r="E82" s="7">
        <v>2</v>
      </c>
      <c r="F82" s="7" t="str">
        <f>VLOOKUP(orders[[#All],[customer_id]],'customers'!A:B,2,0)</f>
        <v>ahmeD</v>
      </c>
      <c r="G82" s="7" t="str">
        <f>INDEX(products!A:G,MATCH(orders[[#This Row],[product_id]],products[[#All],[product_id]],0),MATCH("product_name",products[#Headers],0))</f>
        <v>Eggs</v>
      </c>
      <c r="H82" s="7" t="str">
        <f>VLOOKUP(orders[[#This Row],[product_id]],products!A:G,7,FALSE)</f>
        <v>₹65</v>
      </c>
      <c r="I82" s="20">
        <f>SUM(orders[[#This Row],[qty]]*orders[[#This Row],[price (in INR)]])</f>
        <v>130</v>
      </c>
    </row>
    <row r="83" spans="1:9" x14ac:dyDescent="0.35">
      <c r="A83" s="6">
        <v>1484</v>
      </c>
      <c r="B83" s="18">
        <v>44973</v>
      </c>
      <c r="C83" s="6">
        <v>35</v>
      </c>
      <c r="D83" s="19">
        <v>590</v>
      </c>
      <c r="E83" s="7">
        <v>8</v>
      </c>
      <c r="F83" s="7" t="str">
        <f>VLOOKUP(orders[[#All],[customer_id]],'customers'!A:B,2,0)</f>
        <v>MiKe</v>
      </c>
      <c r="G83" s="7" t="str">
        <f>INDEX(products!A:G,MATCH(orders[[#This Row],[product_id]],products[[#All],[product_id]],0),MATCH("product_name",products[#Headers],0))</f>
        <v>French Fries</v>
      </c>
      <c r="H83" s="7" t="str">
        <f>VLOOKUP(orders[[#This Row],[product_id]],products!A:G,7,FALSE)</f>
        <v>₹50</v>
      </c>
      <c r="I83" s="20">
        <f>SUM(orders[[#This Row],[qty]]*orders[[#This Row],[price (in INR)]])</f>
        <v>400</v>
      </c>
    </row>
    <row r="84" spans="1:9" x14ac:dyDescent="0.35">
      <c r="A84" s="6">
        <v>1487</v>
      </c>
      <c r="B84" s="18">
        <v>44973</v>
      </c>
      <c r="C84" s="6">
        <v>21</v>
      </c>
      <c r="D84" s="19">
        <v>811</v>
      </c>
      <c r="E84" s="7">
        <v>5</v>
      </c>
      <c r="F84" s="7" t="str">
        <f>VLOOKUP(orders[[#All],[customer_id]],'customers'!A:B,2,0)</f>
        <v>Lisa</v>
      </c>
      <c r="G84" s="7" t="str">
        <f>INDEX(products!A:G,MATCH(orders[[#This Row],[product_id]],products[[#All],[product_id]],0),MATCH("product_name",products[#Headers],0))</f>
        <v>Celery</v>
      </c>
      <c r="H84" s="7" t="str">
        <f>VLOOKUP(orders[[#This Row],[product_id]],products!A:G,7,FALSE)</f>
        <v>₹50</v>
      </c>
      <c r="I84" s="20">
        <f>SUM(orders[[#This Row],[qty]]*orders[[#This Row],[price (in INR)]])</f>
        <v>250</v>
      </c>
    </row>
    <row r="85" spans="1:9" x14ac:dyDescent="0.35">
      <c r="A85" s="6">
        <v>1489</v>
      </c>
      <c r="B85" s="18">
        <v>44973</v>
      </c>
      <c r="C85" s="6">
        <v>35</v>
      </c>
      <c r="D85" s="19">
        <v>594</v>
      </c>
      <c r="E85" s="7">
        <v>8</v>
      </c>
      <c r="F85" s="7" t="str">
        <f>VLOOKUP(orders[[#All],[customer_id]],'customers'!A:B,2,0)</f>
        <v>MiKe</v>
      </c>
      <c r="G85" s="7" t="str">
        <f>INDEX(products!A:G,MATCH(orders[[#This Row],[product_id]],products[[#All],[product_id]],0),MATCH("product_name",products[#Headers],0))</f>
        <v>Chicken</v>
      </c>
      <c r="H85" s="7" t="str">
        <f>VLOOKUP(orders[[#This Row],[product_id]],products!A:G,7,FALSE)</f>
        <v>₹250</v>
      </c>
      <c r="I85" s="20">
        <f>SUM(orders[[#This Row],[qty]]*orders[[#This Row],[price (in INR)]])</f>
        <v>2000</v>
      </c>
    </row>
    <row r="86" spans="1:9" x14ac:dyDescent="0.35">
      <c r="A86" s="6">
        <v>1491</v>
      </c>
      <c r="B86" s="18">
        <v>44974</v>
      </c>
      <c r="C86" s="6">
        <v>29</v>
      </c>
      <c r="D86" s="19">
        <v>739</v>
      </c>
      <c r="E86" s="7">
        <v>2</v>
      </c>
      <c r="F86" s="7" t="str">
        <f>VLOOKUP(orders[[#All],[customer_id]],'customers'!A:B,2,0)</f>
        <v>johN</v>
      </c>
      <c r="G86" s="7" t="str">
        <f>INDEX(products!A:G,MATCH(orders[[#This Row],[product_id]],products[[#All],[product_id]],0),MATCH("product_name",products[#Headers],0))</f>
        <v xml:space="preserve"> Donut</v>
      </c>
      <c r="H86" s="7" t="str">
        <f>VLOOKUP(orders[[#This Row],[product_id]],products!A:G,7,FALSE)</f>
        <v>₹40</v>
      </c>
      <c r="I86" s="20">
        <f>SUM(orders[[#This Row],[qty]]*orders[[#This Row],[price (in INR)]])</f>
        <v>80</v>
      </c>
    </row>
    <row r="87" spans="1:9" x14ac:dyDescent="0.35">
      <c r="A87" s="6">
        <v>1517</v>
      </c>
      <c r="B87" s="18">
        <v>44974</v>
      </c>
      <c r="C87" s="6">
        <v>21</v>
      </c>
      <c r="D87" s="19">
        <v>628</v>
      </c>
      <c r="E87" s="7">
        <v>10</v>
      </c>
      <c r="F87" s="7" t="str">
        <f>VLOOKUP(orders[[#All],[customer_id]],'customers'!A:B,2,0)</f>
        <v>Lisa</v>
      </c>
      <c r="G87" s="7" t="str">
        <f>INDEX(products!A:G,MATCH(orders[[#This Row],[product_id]],products[[#All],[product_id]],0),MATCH("product_name",products[#Headers],0))</f>
        <v>Fish</v>
      </c>
      <c r="H87" s="7" t="str">
        <f>VLOOKUP(orders[[#This Row],[product_id]],products!A:G,7,FALSE)</f>
        <v>₹120</v>
      </c>
      <c r="I87" s="20">
        <f>SUM(orders[[#This Row],[qty]]*orders[[#This Row],[price (in INR)]])</f>
        <v>1200</v>
      </c>
    </row>
    <row r="88" spans="1:9" x14ac:dyDescent="0.35">
      <c r="A88" s="6">
        <v>1522</v>
      </c>
      <c r="B88" s="18">
        <v>44974</v>
      </c>
      <c r="C88" s="6">
        <v>11</v>
      </c>
      <c r="D88" s="19">
        <v>392</v>
      </c>
      <c r="E88" s="7">
        <v>4</v>
      </c>
      <c r="F88" s="7" t="str">
        <f>VLOOKUP(orders[[#All],[customer_id]],'customers'!A:B,2,0)</f>
        <v>AnthoNY</v>
      </c>
      <c r="G88" s="7" t="str">
        <f>INDEX(products!A:G,MATCH(orders[[#This Row],[product_id]],products[[#All],[product_id]],0),MATCH("product_name",products[#Headers],0))</f>
        <v>Yogurt</v>
      </c>
      <c r="H88" s="7" t="str">
        <f>VLOOKUP(orders[[#This Row],[product_id]],products!A:G,7,FALSE)</f>
        <v>₹30</v>
      </c>
      <c r="I88" s="20">
        <f>SUM(orders[[#This Row],[qty]]*orders[[#This Row],[price (in INR)]])</f>
        <v>120</v>
      </c>
    </row>
    <row r="89" spans="1:9" x14ac:dyDescent="0.35">
      <c r="A89" s="6">
        <v>1527</v>
      </c>
      <c r="B89" s="18">
        <v>44974</v>
      </c>
      <c r="C89" s="6">
        <v>35</v>
      </c>
      <c r="D89" s="19">
        <v>484</v>
      </c>
      <c r="E89" s="7">
        <v>6</v>
      </c>
      <c r="F89" s="7" t="str">
        <f>VLOOKUP(orders[[#All],[customer_id]],'customers'!A:B,2,0)</f>
        <v>MiKe</v>
      </c>
      <c r="G89" s="7" t="str">
        <f>INDEX(products!A:G,MATCH(orders[[#This Row],[product_id]],products[[#All],[product_id]],0),MATCH("product_name",products[#Headers],0))</f>
        <v xml:space="preserve">          Hamburger</v>
      </c>
      <c r="H89" s="7" t="str">
        <f>VLOOKUP(orders[[#This Row],[product_id]],products!A:G,7,FALSE)</f>
        <v>₹70</v>
      </c>
      <c r="I89" s="20">
        <f>SUM(orders[[#This Row],[qty]]*orders[[#This Row],[price (in INR)]])</f>
        <v>420</v>
      </c>
    </row>
    <row r="90" spans="1:9" x14ac:dyDescent="0.35">
      <c r="A90" s="6">
        <v>1533</v>
      </c>
      <c r="B90" s="18">
        <v>44974</v>
      </c>
      <c r="C90" s="6">
        <v>50</v>
      </c>
      <c r="D90" s="19">
        <v>294</v>
      </c>
      <c r="E90" s="7">
        <v>8</v>
      </c>
      <c r="F90" s="7" t="str">
        <f>VLOOKUP(orders[[#All],[customer_id]],'customers'!A:B,2,0)</f>
        <v>BRuce</v>
      </c>
      <c r="G90" s="7" t="str">
        <f>INDEX(products!A:G,MATCH(orders[[#This Row],[product_id]],products[[#All],[product_id]],0),MATCH("product_name",products[#Headers],0))</f>
        <v>Rice</v>
      </c>
      <c r="H90" s="7" t="str">
        <f>VLOOKUP(orders[[#This Row],[product_id]],products!A:G,7,FALSE)</f>
        <v>₹80</v>
      </c>
      <c r="I90" s="20">
        <f>SUM(orders[[#This Row],[qty]]*orders[[#This Row],[price (in INR)]])</f>
        <v>640</v>
      </c>
    </row>
    <row r="91" spans="1:9" x14ac:dyDescent="0.35">
      <c r="A91" s="6">
        <v>1536</v>
      </c>
      <c r="B91" s="18">
        <v>44975</v>
      </c>
      <c r="C91" s="6">
        <v>29</v>
      </c>
      <c r="D91" s="19">
        <v>392</v>
      </c>
      <c r="E91" s="7">
        <v>4</v>
      </c>
      <c r="F91" s="7" t="str">
        <f>VLOOKUP(orders[[#All],[customer_id]],'customers'!A:B,2,0)</f>
        <v>johN</v>
      </c>
      <c r="G91" s="7" t="str">
        <f>INDEX(products!A:G,MATCH(orders[[#This Row],[product_id]],products[[#All],[product_id]],0),MATCH("product_name",products[#Headers],0))</f>
        <v>Yogurt</v>
      </c>
      <c r="H91" s="7" t="str">
        <f>VLOOKUP(orders[[#This Row],[product_id]],products!A:G,7,FALSE)</f>
        <v>₹30</v>
      </c>
      <c r="I91" s="20">
        <f>SUM(orders[[#This Row],[qty]]*orders[[#This Row],[price (in INR)]])</f>
        <v>120</v>
      </c>
    </row>
    <row r="92" spans="1:9" x14ac:dyDescent="0.35">
      <c r="A92" s="6">
        <v>1540</v>
      </c>
      <c r="B92" s="18">
        <v>44975</v>
      </c>
      <c r="C92" s="6">
        <v>35</v>
      </c>
      <c r="D92" s="19">
        <v>294</v>
      </c>
      <c r="E92" s="7">
        <v>5</v>
      </c>
      <c r="F92" s="7" t="str">
        <f>VLOOKUP(orders[[#All],[customer_id]],'customers'!A:B,2,0)</f>
        <v>MiKe</v>
      </c>
      <c r="G92" s="7" t="str">
        <f>INDEX(products!A:G,MATCH(orders[[#This Row],[product_id]],products[[#All],[product_id]],0),MATCH("product_name",products[#Headers],0))</f>
        <v>Rice</v>
      </c>
      <c r="H92" s="7" t="str">
        <f>VLOOKUP(orders[[#This Row],[product_id]],products!A:G,7,FALSE)</f>
        <v>₹80</v>
      </c>
      <c r="I92" s="20">
        <f>SUM(orders[[#This Row],[qty]]*orders[[#This Row],[price (in INR)]])</f>
        <v>400</v>
      </c>
    </row>
    <row r="93" spans="1:9" x14ac:dyDescent="0.35">
      <c r="A93" s="6">
        <v>1547</v>
      </c>
      <c r="B93" s="18">
        <v>44975</v>
      </c>
      <c r="C93" s="6">
        <v>34</v>
      </c>
      <c r="D93" s="19">
        <v>862</v>
      </c>
      <c r="E93" s="7">
        <v>3</v>
      </c>
      <c r="F93" s="7" t="str">
        <f>VLOOKUP(orders[[#All],[customer_id]],'customers'!A:B,2,0)</f>
        <v>JaY</v>
      </c>
      <c r="G93" s="7" t="str">
        <f>INDEX(products!A:G,MATCH(orders[[#This Row],[product_id]],products[[#All],[product_id]],0),MATCH("product_name",products[#Headers],0))</f>
        <v>Chocolate Cake</v>
      </c>
      <c r="H93" s="7" t="str">
        <f>VLOOKUP(orders[[#This Row],[product_id]],products!A:G,7,FALSE)</f>
        <v>₹200</v>
      </c>
      <c r="I93" s="20">
        <f>SUM(orders[[#This Row],[qty]]*orders[[#This Row],[price (in INR)]])</f>
        <v>600</v>
      </c>
    </row>
    <row r="94" spans="1:9" x14ac:dyDescent="0.35">
      <c r="A94" s="6">
        <v>1552</v>
      </c>
      <c r="B94" s="18">
        <v>44975</v>
      </c>
      <c r="C94" s="6">
        <v>79</v>
      </c>
      <c r="D94" s="19">
        <v>163</v>
      </c>
      <c r="E94" s="7">
        <v>3</v>
      </c>
      <c r="F94" s="7" t="str">
        <f>VLOOKUP(orders[[#All],[customer_id]],'customers'!A:B,2,0)</f>
        <v>TiM</v>
      </c>
      <c r="G94" s="7" t="str">
        <f>INDEX(products!A:G,MATCH(orders[[#This Row],[product_id]],products[[#All],[product_id]],0),MATCH("product_name",products[#Headers],0))</f>
        <v>Grape Juice</v>
      </c>
      <c r="H94" s="7" t="str">
        <f>VLOOKUP(orders[[#This Row],[product_id]],products!A:G,7,FALSE)</f>
        <v>₹40</v>
      </c>
      <c r="I94" s="20">
        <f>SUM(orders[[#This Row],[qty]]*orders[[#This Row],[price (in INR)]])</f>
        <v>120</v>
      </c>
    </row>
    <row r="95" spans="1:9" x14ac:dyDescent="0.35">
      <c r="A95" s="6">
        <v>1557</v>
      </c>
      <c r="B95" s="18">
        <v>44975</v>
      </c>
      <c r="C95" s="6">
        <v>21</v>
      </c>
      <c r="D95" s="19">
        <v>628</v>
      </c>
      <c r="E95" s="7">
        <v>6</v>
      </c>
      <c r="F95" s="7" t="str">
        <f>VLOOKUP(orders[[#All],[customer_id]],'customers'!A:B,2,0)</f>
        <v>Lisa</v>
      </c>
      <c r="G95" s="7" t="str">
        <f>INDEX(products!A:G,MATCH(orders[[#This Row],[product_id]],products[[#All],[product_id]],0),MATCH("product_name",products[#Headers],0))</f>
        <v>Fish</v>
      </c>
      <c r="H95" s="7" t="str">
        <f>VLOOKUP(orders[[#This Row],[product_id]],products!A:G,7,FALSE)</f>
        <v>₹120</v>
      </c>
      <c r="I95" s="20">
        <f>SUM(orders[[#This Row],[qty]]*orders[[#This Row],[price (in INR)]])</f>
        <v>720</v>
      </c>
    </row>
    <row r="96" spans="1:9" x14ac:dyDescent="0.35">
      <c r="A96" s="6">
        <v>1569</v>
      </c>
      <c r="B96" s="18">
        <v>44976</v>
      </c>
      <c r="C96" s="6">
        <v>35</v>
      </c>
      <c r="D96" s="19">
        <v>862</v>
      </c>
      <c r="E96" s="7">
        <v>5</v>
      </c>
      <c r="F96" s="7" t="str">
        <f>VLOOKUP(orders[[#All],[customer_id]],'customers'!A:B,2,0)</f>
        <v>MiKe</v>
      </c>
      <c r="G96" s="7" t="str">
        <f>INDEX(products!A:G,MATCH(orders[[#This Row],[product_id]],products[[#All],[product_id]],0),MATCH("product_name",products[#Headers],0))</f>
        <v>Chocolate Cake</v>
      </c>
      <c r="H96" s="7" t="str">
        <f>VLOOKUP(orders[[#This Row],[product_id]],products!A:G,7,FALSE)</f>
        <v>₹200</v>
      </c>
      <c r="I96" s="20">
        <f>SUM(orders[[#This Row],[qty]]*orders[[#This Row],[price (in INR)]])</f>
        <v>1000</v>
      </c>
    </row>
    <row r="97" spans="1:9" x14ac:dyDescent="0.35">
      <c r="A97" s="6">
        <v>1572</v>
      </c>
      <c r="B97" s="18">
        <v>44976</v>
      </c>
      <c r="C97" s="6">
        <v>21</v>
      </c>
      <c r="D97" s="19">
        <v>704</v>
      </c>
      <c r="E97" s="7">
        <v>4</v>
      </c>
      <c r="F97" s="7" t="str">
        <f>VLOOKUP(orders[[#All],[customer_id]],'customers'!A:B,2,0)</f>
        <v>Lisa</v>
      </c>
      <c r="G97" s="7" t="str">
        <f>INDEX(products!A:G,MATCH(orders[[#This Row],[product_id]],products[[#All],[product_id]],0),MATCH("product_name",products[#Headers],0))</f>
        <v>Eggs</v>
      </c>
      <c r="H97" s="7" t="str">
        <f>VLOOKUP(orders[[#This Row],[product_id]],products!A:G,7,FALSE)</f>
        <v>₹65</v>
      </c>
      <c r="I97" s="20">
        <f>SUM(orders[[#This Row],[qty]]*orders[[#This Row],[price (in INR)]])</f>
        <v>260</v>
      </c>
    </row>
    <row r="98" spans="1:9" x14ac:dyDescent="0.35">
      <c r="A98" s="6">
        <v>1573</v>
      </c>
      <c r="B98" s="18">
        <v>44976</v>
      </c>
      <c r="C98" s="6">
        <v>19</v>
      </c>
      <c r="D98" s="19">
        <v>646</v>
      </c>
      <c r="E98" s="7"/>
      <c r="F98" s="7" t="str">
        <f>VLOOKUP(orders[[#All],[customer_id]],'customers'!A:B,2,0)</f>
        <v>ahmeD</v>
      </c>
      <c r="G98" s="7" t="str">
        <f>INDEX(products!A:G,MATCH(orders[[#This Row],[product_id]],products[[#All],[product_id]],0),MATCH("product_name",products[#Headers],0))</f>
        <v xml:space="preserve">  Apple</v>
      </c>
      <c r="H98" s="7" t="str">
        <f>VLOOKUP(orders[[#This Row],[product_id]],products!A:G,7,FALSE)</f>
        <v>₹200</v>
      </c>
      <c r="I98" s="20">
        <f>SUM(orders[[#This Row],[qty]]*orders[[#This Row],[price (in INR)]])</f>
        <v>0</v>
      </c>
    </row>
    <row r="99" spans="1:9" x14ac:dyDescent="0.35">
      <c r="A99" s="6">
        <v>1574</v>
      </c>
      <c r="B99" s="18">
        <v>44976</v>
      </c>
      <c r="C99" s="6">
        <v>79</v>
      </c>
      <c r="D99" s="19">
        <v>590</v>
      </c>
      <c r="E99" s="7">
        <v>2</v>
      </c>
      <c r="F99" s="7" t="str">
        <f>VLOOKUP(orders[[#All],[customer_id]],'customers'!A:B,2,0)</f>
        <v>TiM</v>
      </c>
      <c r="G99" s="7" t="str">
        <f>INDEX(products!A:G,MATCH(orders[[#This Row],[product_id]],products[[#All],[product_id]],0),MATCH("product_name",products[#Headers],0))</f>
        <v>French Fries</v>
      </c>
      <c r="H99" s="7" t="str">
        <f>VLOOKUP(orders[[#This Row],[product_id]],products!A:G,7,FALSE)</f>
        <v>₹50</v>
      </c>
      <c r="I99" s="20">
        <f>SUM(orders[[#This Row],[qty]]*orders[[#This Row],[price (in INR)]])</f>
        <v>100</v>
      </c>
    </row>
    <row r="100" spans="1:9" x14ac:dyDescent="0.35">
      <c r="A100" s="6">
        <v>1576</v>
      </c>
      <c r="B100" s="18">
        <v>44976</v>
      </c>
      <c r="C100" s="6">
        <v>11</v>
      </c>
      <c r="D100" s="19">
        <v>392</v>
      </c>
      <c r="E100" s="7">
        <v>3</v>
      </c>
      <c r="F100" s="7" t="str">
        <f>VLOOKUP(orders[[#All],[customer_id]],'customers'!A:B,2,0)</f>
        <v>AnthoNY</v>
      </c>
      <c r="G100" s="7" t="str">
        <f>INDEX(products!A:G,MATCH(orders[[#This Row],[product_id]],products[[#All],[product_id]],0),MATCH("product_name",products[#Headers],0))</f>
        <v>Yogurt</v>
      </c>
      <c r="H100" s="7" t="str">
        <f>VLOOKUP(orders[[#This Row],[product_id]],products!A:G,7,FALSE)</f>
        <v>₹30</v>
      </c>
      <c r="I100" s="20">
        <f>SUM(orders[[#This Row],[qty]]*orders[[#This Row],[price (in INR)]])</f>
        <v>90</v>
      </c>
    </row>
    <row r="101" spans="1:9" x14ac:dyDescent="0.35">
      <c r="A101" s="6">
        <v>1580</v>
      </c>
      <c r="B101" s="18">
        <v>44977</v>
      </c>
      <c r="C101" s="6">
        <v>14</v>
      </c>
      <c r="D101" s="19">
        <v>392</v>
      </c>
      <c r="E101" s="7">
        <v>2</v>
      </c>
      <c r="F101" s="7" t="str">
        <f>VLOOKUP(orders[[#All],[customer_id]],'customers'!A:B,2,0)</f>
        <v>RavI</v>
      </c>
      <c r="G101" s="7" t="str">
        <f>INDEX(products!A:G,MATCH(orders[[#This Row],[product_id]],products[[#All],[product_id]],0),MATCH("product_name",products[#Headers],0))</f>
        <v>Yogurt</v>
      </c>
      <c r="H101" s="7" t="str">
        <f>VLOOKUP(orders[[#This Row],[product_id]],products!A:G,7,FALSE)</f>
        <v>₹30</v>
      </c>
      <c r="I101" s="20">
        <f>SUM(orders[[#This Row],[qty]]*orders[[#This Row],[price (in INR)]])</f>
        <v>60</v>
      </c>
    </row>
    <row r="102" spans="1:9" x14ac:dyDescent="0.35">
      <c r="A102" s="6">
        <v>1582</v>
      </c>
      <c r="B102" s="18">
        <v>44977</v>
      </c>
      <c r="C102" s="6">
        <v>35</v>
      </c>
      <c r="D102" s="19">
        <v>811</v>
      </c>
      <c r="E102" s="7">
        <v>4</v>
      </c>
      <c r="F102" s="7" t="str">
        <f>VLOOKUP(orders[[#All],[customer_id]],'customers'!A:B,2,0)</f>
        <v>MiKe</v>
      </c>
      <c r="G102" s="7" t="str">
        <f>INDEX(products!A:G,MATCH(orders[[#This Row],[product_id]],products[[#All],[product_id]],0),MATCH("product_name",products[#Headers],0))</f>
        <v>Celery</v>
      </c>
      <c r="H102" s="7" t="str">
        <f>VLOOKUP(orders[[#This Row],[product_id]],products!A:G,7,FALSE)</f>
        <v>₹50</v>
      </c>
      <c r="I102" s="20">
        <f>SUM(orders[[#This Row],[qty]]*orders[[#This Row],[price (in INR)]])</f>
        <v>200</v>
      </c>
    </row>
    <row r="103" spans="1:9" x14ac:dyDescent="0.35">
      <c r="A103" s="6">
        <v>1584</v>
      </c>
      <c r="B103" s="18">
        <v>44977</v>
      </c>
      <c r="C103" s="6">
        <v>21</v>
      </c>
      <c r="D103" s="19">
        <v>651</v>
      </c>
      <c r="E103" s="7"/>
      <c r="F103" s="7" t="str">
        <f>VLOOKUP(orders[[#All],[customer_id]],'customers'!A:B,2,0)</f>
        <v>Lisa</v>
      </c>
      <c r="G103" s="7" t="str">
        <f>INDEX(products!A:G,MATCH(orders[[#This Row],[product_id]],products[[#All],[product_id]],0),MATCH("product_name",products[#Headers],0))</f>
        <v>Banana</v>
      </c>
      <c r="H103" s="7" t="str">
        <f>VLOOKUP(orders[[#This Row],[product_id]],products!A:G,7,FALSE)</f>
        <v>₹80</v>
      </c>
      <c r="I103" s="20">
        <f>SUM(orders[[#This Row],[qty]]*orders[[#This Row],[price (in INR)]])</f>
        <v>0</v>
      </c>
    </row>
    <row r="104" spans="1:9" x14ac:dyDescent="0.35">
      <c r="A104" s="6">
        <v>1587</v>
      </c>
      <c r="B104" s="18">
        <v>44977</v>
      </c>
      <c r="C104" s="6">
        <v>11</v>
      </c>
      <c r="D104" s="19">
        <v>804</v>
      </c>
      <c r="E104" s="7">
        <v>8</v>
      </c>
      <c r="F104" s="7" t="str">
        <f>VLOOKUP(orders[[#All],[customer_id]],'customers'!A:B,2,0)</f>
        <v>AnthoNY</v>
      </c>
      <c r="G104" s="7" t="str">
        <f>INDEX(products!A:G,MATCH(orders[[#This Row],[product_id]],products[[#All],[product_id]],0),MATCH("product_name",products[#Headers],0))</f>
        <v>Broccoli</v>
      </c>
      <c r="H104" s="7" t="str">
        <f>VLOOKUP(orders[[#This Row],[product_id]],products!A:G,7,FALSE)</f>
        <v>₹30</v>
      </c>
      <c r="I104" s="20">
        <f>SUM(orders[[#This Row],[qty]]*orders[[#This Row],[price (in INR)]])</f>
        <v>240</v>
      </c>
    </row>
    <row r="105" spans="1:9" x14ac:dyDescent="0.35">
      <c r="A105" s="6">
        <v>1597</v>
      </c>
      <c r="B105" s="18">
        <v>44977</v>
      </c>
      <c r="C105" s="6">
        <v>29</v>
      </c>
      <c r="D105" s="19">
        <v>739</v>
      </c>
      <c r="E105" s="7">
        <v>12</v>
      </c>
      <c r="F105" s="7" t="str">
        <f>VLOOKUP(orders[[#All],[customer_id]],'customers'!A:B,2,0)</f>
        <v>johN</v>
      </c>
      <c r="G105" s="7" t="str">
        <f>INDEX(products!A:G,MATCH(orders[[#This Row],[product_id]],products[[#All],[product_id]],0),MATCH("product_name",products[#Headers],0))</f>
        <v xml:space="preserve"> Donut</v>
      </c>
      <c r="H105" s="7" t="str">
        <f>VLOOKUP(orders[[#This Row],[product_id]],products!A:G,7,FALSE)</f>
        <v>₹40</v>
      </c>
      <c r="I105" s="20">
        <f>SUM(orders[[#This Row],[qty]]*orders[[#This Row],[price (in INR)]])</f>
        <v>480</v>
      </c>
    </row>
    <row r="106" spans="1:9" x14ac:dyDescent="0.35">
      <c r="A106" s="6">
        <v>1597</v>
      </c>
      <c r="B106" s="18">
        <v>44977</v>
      </c>
      <c r="C106" s="6">
        <v>29</v>
      </c>
      <c r="D106" s="19">
        <v>739</v>
      </c>
      <c r="E106" s="7">
        <v>12</v>
      </c>
      <c r="F106" s="7" t="str">
        <f>VLOOKUP(orders[[#All],[customer_id]],'customers'!A:B,2,0)</f>
        <v>johN</v>
      </c>
      <c r="G106" s="7" t="str">
        <f>INDEX(products!A:G,MATCH(orders[[#This Row],[product_id]],products[[#All],[product_id]],0),MATCH("product_name",products[#Headers],0))</f>
        <v xml:space="preserve"> Donut</v>
      </c>
      <c r="H106" s="13" t="str">
        <f>VLOOKUP(orders[[#This Row],[product_id]],products!A:G,7,FALSE)</f>
        <v>₹40</v>
      </c>
      <c r="I106" s="22">
        <f>SUM(orders[[#This Row],[qty]]*orders[[#This Row],[price (in INR)]])</f>
        <v>480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E531-CDC2-4E6E-B0DC-961D95C09F3D}">
  <dimension ref="A1:G21"/>
  <sheetViews>
    <sheetView workbookViewId="0">
      <selection activeCell="H5" sqref="H5"/>
    </sheetView>
  </sheetViews>
  <sheetFormatPr defaultRowHeight="14.5" x14ac:dyDescent="0.35"/>
  <cols>
    <col min="1" max="1" width="13.453125" style="2" customWidth="1"/>
    <col min="2" max="2" width="17.1796875" customWidth="1"/>
    <col min="3" max="3" width="11.54296875" customWidth="1"/>
    <col min="4" max="4" width="13.26953125" customWidth="1"/>
    <col min="5" max="5" width="9.54296875" customWidth="1"/>
    <col min="7" max="7" width="18.54296875" style="2" customWidth="1"/>
    <col min="8" max="8" width="8.81640625" customWidth="1"/>
  </cols>
  <sheetData>
    <row r="1" spans="1:7" x14ac:dyDescent="0.35">
      <c r="A1" s="8" t="s">
        <v>3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10" t="s">
        <v>52</v>
      </c>
    </row>
    <row r="2" spans="1:7" x14ac:dyDescent="0.35">
      <c r="A2" s="11">
        <v>646</v>
      </c>
      <c r="B2" s="7" t="s">
        <v>10</v>
      </c>
      <c r="C2" s="7">
        <v>52</v>
      </c>
      <c r="D2" s="7">
        <v>0.26</v>
      </c>
      <c r="E2" s="7">
        <v>13.8</v>
      </c>
      <c r="F2" s="7">
        <v>0.17</v>
      </c>
      <c r="G2" s="23" t="s">
        <v>11</v>
      </c>
    </row>
    <row r="3" spans="1:7" x14ac:dyDescent="0.35">
      <c r="A3" s="11">
        <v>651</v>
      </c>
      <c r="B3" s="7" t="s">
        <v>12</v>
      </c>
      <c r="C3" s="7">
        <v>89</v>
      </c>
      <c r="D3" s="7">
        <v>1.0900000000000001</v>
      </c>
      <c r="E3" s="7">
        <v>22.8</v>
      </c>
      <c r="F3" s="7">
        <v>0.33</v>
      </c>
      <c r="G3" s="23" t="s">
        <v>13</v>
      </c>
    </row>
    <row r="4" spans="1:7" x14ac:dyDescent="0.35">
      <c r="A4" s="11">
        <v>886</v>
      </c>
      <c r="B4" s="7" t="s">
        <v>14</v>
      </c>
      <c r="C4" s="7">
        <v>322</v>
      </c>
      <c r="D4" s="7">
        <v>4.0199999999999996</v>
      </c>
      <c r="E4" s="7">
        <v>17.149999999999999</v>
      </c>
      <c r="F4" s="7">
        <v>29.47</v>
      </c>
      <c r="G4" s="23" t="s">
        <v>15</v>
      </c>
    </row>
    <row r="5" spans="1:7" x14ac:dyDescent="0.35">
      <c r="A5" s="11">
        <v>804</v>
      </c>
      <c r="B5" s="7" t="s">
        <v>16</v>
      </c>
      <c r="C5" s="7">
        <v>34</v>
      </c>
      <c r="D5" s="7">
        <v>2.82</v>
      </c>
      <c r="E5" s="7">
        <v>6.64</v>
      </c>
      <c r="F5" s="7">
        <v>0.37</v>
      </c>
      <c r="G5" s="23" t="s">
        <v>17</v>
      </c>
    </row>
    <row r="6" spans="1:7" x14ac:dyDescent="0.35">
      <c r="A6" s="11">
        <v>594</v>
      </c>
      <c r="B6" s="7" t="s">
        <v>18</v>
      </c>
      <c r="C6" s="7">
        <v>335</v>
      </c>
      <c r="D6" s="7">
        <v>31.02</v>
      </c>
      <c r="E6" s="7">
        <v>0</v>
      </c>
      <c r="F6" s="7">
        <v>23.11</v>
      </c>
      <c r="G6" s="23" t="s">
        <v>19</v>
      </c>
    </row>
    <row r="7" spans="1:7" x14ac:dyDescent="0.35">
      <c r="A7" s="11">
        <v>628</v>
      </c>
      <c r="B7" s="7" t="s">
        <v>20</v>
      </c>
      <c r="C7" s="7">
        <v>206</v>
      </c>
      <c r="D7" s="7">
        <v>20.260000000000002</v>
      </c>
      <c r="E7" s="7">
        <v>0</v>
      </c>
      <c r="F7" s="7">
        <v>13.92</v>
      </c>
      <c r="G7" s="23" t="s">
        <v>21</v>
      </c>
    </row>
    <row r="8" spans="1:7" x14ac:dyDescent="0.35">
      <c r="A8" s="11">
        <v>294</v>
      </c>
      <c r="B8" s="7" t="s">
        <v>22</v>
      </c>
      <c r="C8" s="7">
        <v>130</v>
      </c>
      <c r="D8" s="7">
        <v>2.69</v>
      </c>
      <c r="E8" s="7">
        <v>28.73</v>
      </c>
      <c r="F8" s="7">
        <v>0.28000000000000003</v>
      </c>
      <c r="G8" s="23" t="s">
        <v>13</v>
      </c>
    </row>
    <row r="9" spans="1:7" x14ac:dyDescent="0.35">
      <c r="A9" s="11">
        <v>328</v>
      </c>
      <c r="B9" s="7" t="s">
        <v>23</v>
      </c>
      <c r="C9" s="7">
        <v>131</v>
      </c>
      <c r="D9" s="7">
        <v>5.47</v>
      </c>
      <c r="E9" s="7">
        <v>25.77</v>
      </c>
      <c r="F9" s="7">
        <v>1.03</v>
      </c>
      <c r="G9" s="23" t="s">
        <v>24</v>
      </c>
    </row>
    <row r="10" spans="1:7" x14ac:dyDescent="0.35">
      <c r="A10" s="11">
        <v>521</v>
      </c>
      <c r="B10" s="7" t="s">
        <v>25</v>
      </c>
      <c r="C10" s="7">
        <v>41</v>
      </c>
      <c r="D10" s="7">
        <v>0.93</v>
      </c>
      <c r="E10" s="7">
        <v>9.58</v>
      </c>
      <c r="F10" s="7">
        <v>0.24</v>
      </c>
      <c r="G10" s="23" t="s">
        <v>26</v>
      </c>
    </row>
    <row r="11" spans="1:7" x14ac:dyDescent="0.35">
      <c r="A11" s="11">
        <v>811</v>
      </c>
      <c r="B11" s="7" t="s">
        <v>27</v>
      </c>
      <c r="C11" s="7">
        <v>16</v>
      </c>
      <c r="D11" s="7">
        <v>0.69</v>
      </c>
      <c r="E11" s="7">
        <v>3.06</v>
      </c>
      <c r="F11" s="7">
        <v>0.17</v>
      </c>
      <c r="G11" s="23" t="s">
        <v>28</v>
      </c>
    </row>
    <row r="12" spans="1:7" x14ac:dyDescent="0.35">
      <c r="A12" s="11">
        <v>797</v>
      </c>
      <c r="B12" s="7" t="s">
        <v>29</v>
      </c>
      <c r="C12" s="7">
        <v>402</v>
      </c>
      <c r="D12" s="7">
        <v>25.09</v>
      </c>
      <c r="E12" s="7">
        <v>3.09</v>
      </c>
      <c r="F12" s="7">
        <v>33.82</v>
      </c>
      <c r="G12" s="23" t="s">
        <v>13</v>
      </c>
    </row>
    <row r="13" spans="1:7" x14ac:dyDescent="0.35">
      <c r="A13" s="11">
        <v>862</v>
      </c>
      <c r="B13" s="7" t="s">
        <v>30</v>
      </c>
      <c r="C13" s="7">
        <v>452</v>
      </c>
      <c r="D13" s="7">
        <v>3.75</v>
      </c>
      <c r="E13" s="7">
        <v>44.61</v>
      </c>
      <c r="F13" s="7">
        <v>29.11</v>
      </c>
      <c r="G13" s="23" t="s">
        <v>11</v>
      </c>
    </row>
    <row r="14" spans="1:7" x14ac:dyDescent="0.35">
      <c r="A14" s="11">
        <v>392</v>
      </c>
      <c r="B14" s="7" t="s">
        <v>31</v>
      </c>
      <c r="C14" s="7">
        <v>118</v>
      </c>
      <c r="D14" s="7">
        <v>6.38</v>
      </c>
      <c r="E14" s="7">
        <v>14.02</v>
      </c>
      <c r="F14" s="7">
        <v>4.0999999999999996</v>
      </c>
      <c r="G14" s="23" t="s">
        <v>17</v>
      </c>
    </row>
    <row r="15" spans="1:7" x14ac:dyDescent="0.35">
      <c r="A15" s="11">
        <v>739</v>
      </c>
      <c r="B15" s="7" t="s">
        <v>32</v>
      </c>
      <c r="C15" s="7">
        <v>452</v>
      </c>
      <c r="D15" s="7">
        <v>4.09</v>
      </c>
      <c r="E15" s="7">
        <v>50.44</v>
      </c>
      <c r="F15" s="7">
        <v>27.51</v>
      </c>
      <c r="G15" s="23" t="s">
        <v>26</v>
      </c>
    </row>
    <row r="16" spans="1:7" x14ac:dyDescent="0.35">
      <c r="A16" s="11">
        <v>704</v>
      </c>
      <c r="B16" s="7" t="s">
        <v>33</v>
      </c>
      <c r="C16" s="7">
        <v>155</v>
      </c>
      <c r="D16" s="7">
        <v>12.58</v>
      </c>
      <c r="E16" s="7">
        <v>0.77</v>
      </c>
      <c r="F16" s="7">
        <v>10.61</v>
      </c>
      <c r="G16" s="23" t="s">
        <v>34</v>
      </c>
    </row>
    <row r="17" spans="1:7" x14ac:dyDescent="0.35">
      <c r="A17" s="11">
        <v>590</v>
      </c>
      <c r="B17" s="7" t="s">
        <v>35</v>
      </c>
      <c r="C17" s="7">
        <v>365</v>
      </c>
      <c r="D17" s="7">
        <v>4.34</v>
      </c>
      <c r="E17" s="7">
        <v>49.74</v>
      </c>
      <c r="F17" s="7">
        <v>17.53</v>
      </c>
      <c r="G17" s="23" t="s">
        <v>28</v>
      </c>
    </row>
    <row r="18" spans="1:7" x14ac:dyDescent="0.35">
      <c r="A18" s="11">
        <v>600</v>
      </c>
      <c r="B18" s="7" t="s">
        <v>36</v>
      </c>
      <c r="C18" s="7">
        <v>42</v>
      </c>
      <c r="D18" s="7">
        <v>0.79</v>
      </c>
      <c r="E18" s="7">
        <v>10.66</v>
      </c>
      <c r="F18" s="7">
        <v>0.14000000000000001</v>
      </c>
      <c r="G18" s="23" t="s">
        <v>37</v>
      </c>
    </row>
    <row r="19" spans="1:7" x14ac:dyDescent="0.35">
      <c r="A19" s="11">
        <v>163</v>
      </c>
      <c r="B19" s="7" t="s">
        <v>38</v>
      </c>
      <c r="C19" s="7">
        <v>152</v>
      </c>
      <c r="D19" s="7">
        <v>1.72</v>
      </c>
      <c r="E19" s="7">
        <v>37.130000000000003</v>
      </c>
      <c r="F19" s="7">
        <v>0.37</v>
      </c>
      <c r="G19" s="23" t="s">
        <v>26</v>
      </c>
    </row>
    <row r="20" spans="1:7" x14ac:dyDescent="0.35">
      <c r="A20" s="11">
        <v>794</v>
      </c>
      <c r="B20" s="7" t="s">
        <v>39</v>
      </c>
      <c r="C20" s="7">
        <v>440</v>
      </c>
      <c r="D20" s="7">
        <v>21.73</v>
      </c>
      <c r="E20" s="7">
        <v>33.46</v>
      </c>
      <c r="F20" s="7">
        <v>26.27</v>
      </c>
      <c r="G20" s="23" t="s">
        <v>15</v>
      </c>
    </row>
    <row r="21" spans="1:7" x14ac:dyDescent="0.35">
      <c r="A21" s="12">
        <v>484</v>
      </c>
      <c r="B21" s="13" t="s">
        <v>40</v>
      </c>
      <c r="C21" s="13">
        <v>250</v>
      </c>
      <c r="D21" s="13">
        <v>13.29</v>
      </c>
      <c r="E21" s="13">
        <v>17.32</v>
      </c>
      <c r="F21" s="13">
        <v>14.62</v>
      </c>
      <c r="G21" s="24" t="s">
        <v>41</v>
      </c>
    </row>
  </sheetData>
  <conditionalFormatting sqref="A2:A21">
    <cfRule type="duplicateValues" dxfId="3" priority="1"/>
    <cfRule type="duplicateValues" dxfId="2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4624-A606-4ECE-AD8A-312B32F1DD2F}">
  <dimension ref="A1:B11"/>
  <sheetViews>
    <sheetView workbookViewId="0">
      <selection activeCell="B1" sqref="B1"/>
    </sheetView>
  </sheetViews>
  <sheetFormatPr defaultRowHeight="14.5" x14ac:dyDescent="0.35"/>
  <cols>
    <col min="1" max="1" width="17.26953125" style="2" customWidth="1"/>
    <col min="2" max="2" width="14.54296875" bestFit="1" customWidth="1"/>
  </cols>
  <sheetData>
    <row r="1" spans="1:2" x14ac:dyDescent="0.35">
      <c r="A1" s="4" t="s">
        <v>2</v>
      </c>
      <c r="B1" s="5" t="s">
        <v>53</v>
      </c>
    </row>
    <row r="2" spans="1:2" x14ac:dyDescent="0.35">
      <c r="A2" s="6">
        <v>34</v>
      </c>
      <c r="B2" s="7" t="s">
        <v>42</v>
      </c>
    </row>
    <row r="3" spans="1:2" x14ac:dyDescent="0.35">
      <c r="A3" s="6">
        <v>29</v>
      </c>
      <c r="B3" s="7" t="s">
        <v>43</v>
      </c>
    </row>
    <row r="4" spans="1:2" x14ac:dyDescent="0.35">
      <c r="A4" s="6">
        <v>79</v>
      </c>
      <c r="B4" s="7" t="s">
        <v>44</v>
      </c>
    </row>
    <row r="5" spans="1:2" x14ac:dyDescent="0.35">
      <c r="A5" s="6">
        <v>14</v>
      </c>
      <c r="B5" s="7" t="s">
        <v>45</v>
      </c>
    </row>
    <row r="6" spans="1:2" x14ac:dyDescent="0.35">
      <c r="A6" s="6">
        <v>21</v>
      </c>
      <c r="B6" s="7" t="s">
        <v>46</v>
      </c>
    </row>
    <row r="7" spans="1:2" x14ac:dyDescent="0.35">
      <c r="A7" s="6">
        <v>19</v>
      </c>
      <c r="B7" s="7" t="s">
        <v>47</v>
      </c>
    </row>
    <row r="8" spans="1:2" x14ac:dyDescent="0.35">
      <c r="A8" s="6">
        <v>35</v>
      </c>
      <c r="B8" s="7" t="s">
        <v>48</v>
      </c>
    </row>
    <row r="9" spans="1:2" x14ac:dyDescent="0.35">
      <c r="A9" s="6">
        <v>50</v>
      </c>
      <c r="B9" s="7" t="s">
        <v>49</v>
      </c>
    </row>
    <row r="10" spans="1:2" x14ac:dyDescent="0.35">
      <c r="A10" s="6">
        <v>35</v>
      </c>
      <c r="B10" s="7" t="s">
        <v>50</v>
      </c>
    </row>
    <row r="11" spans="1:2" x14ac:dyDescent="0.35">
      <c r="A11" s="6">
        <v>11</v>
      </c>
      <c r="B11" s="7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Props1.xml><?xml version="1.0" encoding="utf-8"?>
<ds:datastoreItem xmlns:ds="http://schemas.openxmlformats.org/officeDocument/2006/customXml" ds:itemID="{6CAE54E1-8FDB-4657-88E6-32BDE4D9C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C62C7D-DA10-4966-8738-F2BFB98DD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46EAF7-E241-4A90-B57E-D13F3C41268F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</dc:creator>
  <cp:keywords/>
  <dc:description/>
  <cp:lastModifiedBy>Axiora User-28</cp:lastModifiedBy>
  <cp:revision/>
  <dcterms:created xsi:type="dcterms:W3CDTF">2023-03-21T06:16:01Z</dcterms:created>
  <dcterms:modified xsi:type="dcterms:W3CDTF">2026-03-16T15:52:26Z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